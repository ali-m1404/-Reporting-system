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8.xml" ContentType="application/vnd.openxmlformats-officedocument.spreadsheetml.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علی‌جان محسنی\قوس\"/>
    </mc:Choice>
  </mc:AlternateContent>
  <xr:revisionPtr revIDLastSave="0" documentId="13_ncr:1_{DC317594-7D93-4CE1-BE64-68C21F676522}" xr6:coauthVersionLast="47" xr6:coauthVersionMax="47" xr10:uidLastSave="{00000000-0000-0000-0000-000000000000}"/>
  <bookViews>
    <workbookView xWindow="-120" yWindow="-120" windowWidth="29040" windowHeight="15720" activeTab="2" xr2:uid="{39C43060-D920-483A-9D54-AB19B19AB374}"/>
  </bookViews>
  <sheets>
    <sheet name="Data" sheetId="10" r:id="rId1"/>
    <sheet name="شنبه" sheetId="7" r:id="rId2"/>
    <sheet name="یکشنبه" sheetId="6" r:id="rId3"/>
    <sheet name="دوشنبه" sheetId="5" r:id="rId4"/>
    <sheet name="سه شنبه" sheetId="4" r:id="rId5"/>
    <sheet name="چهار شنبه" sheetId="3" r:id="rId6"/>
    <sheet name="پنجشنبه" sheetId="2" r:id="rId7"/>
    <sheet name="جمعه" sheetId="1" r:id="rId8"/>
    <sheet name="داده ها" sheetId="8" r:id="rId9"/>
    <sheet name="نمودار نهایی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5" l="1"/>
  <c r="N20" i="5" s="1"/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M14" i="7" s="1"/>
  <c r="N14" i="7" s="1"/>
  <c r="M19" i="7"/>
  <c r="N19" i="7" s="1"/>
  <c r="F19" i="7"/>
  <c r="M18" i="7"/>
  <c r="N18" i="7" s="1"/>
  <c r="F18" i="7"/>
  <c r="M17" i="7"/>
  <c r="N17" i="7" s="1"/>
  <c r="F17" i="7"/>
  <c r="M16" i="7"/>
  <c r="N16" i="7" s="1"/>
  <c r="F16" i="7"/>
  <c r="M15" i="7"/>
  <c r="N15" i="7" s="1"/>
  <c r="F15" i="7"/>
  <c r="F14" i="7"/>
  <c r="F13" i="7"/>
  <c r="F12" i="7"/>
  <c r="M10" i="7" s="1"/>
  <c r="N10" i="7" s="1"/>
  <c r="F11" i="7"/>
  <c r="F10" i="7"/>
  <c r="M11" i="7" s="1"/>
  <c r="N11" i="7" s="1"/>
  <c r="F9" i="7"/>
  <c r="F8" i="7"/>
  <c r="F7" i="7"/>
  <c r="M7" i="7" s="1"/>
  <c r="N7" i="7" s="1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M7" i="6" s="1"/>
  <c r="F20" i="6"/>
  <c r="M19" i="6"/>
  <c r="N19" i="6" s="1"/>
  <c r="F19" i="6"/>
  <c r="M18" i="6"/>
  <c r="N18" i="6" s="1"/>
  <c r="M17" i="6"/>
  <c r="N17" i="6" s="1"/>
  <c r="F17" i="6"/>
  <c r="M16" i="6"/>
  <c r="N16" i="6" s="1"/>
  <c r="F16" i="6"/>
  <c r="M15" i="6"/>
  <c r="N15" i="6" s="1"/>
  <c r="F15" i="6"/>
  <c r="M14" i="6"/>
  <c r="N14" i="6" s="1"/>
  <c r="F14" i="6"/>
  <c r="M13" i="6"/>
  <c r="N13" i="6" s="1"/>
  <c r="F13" i="6"/>
  <c r="F12" i="6"/>
  <c r="F11" i="6"/>
  <c r="M10" i="6"/>
  <c r="N10" i="6" s="1"/>
  <c r="F10" i="6"/>
  <c r="M9" i="6"/>
  <c r="N9" i="6" s="1"/>
  <c r="F9" i="6"/>
  <c r="M8" i="6" s="1"/>
  <c r="N8" i="6" s="1"/>
  <c r="F8" i="6"/>
  <c r="M12" i="6" s="1"/>
  <c r="N12" i="6" s="1"/>
  <c r="F7" i="6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M19" i="5"/>
  <c r="N19" i="5" s="1"/>
  <c r="F19" i="5"/>
  <c r="M18" i="5"/>
  <c r="N18" i="5" s="1"/>
  <c r="F18" i="5"/>
  <c r="M17" i="5"/>
  <c r="N17" i="5" s="1"/>
  <c r="F17" i="5"/>
  <c r="M16" i="5"/>
  <c r="N16" i="5" s="1"/>
  <c r="F16" i="5"/>
  <c r="M15" i="5"/>
  <c r="N15" i="5" s="1"/>
  <c r="F15" i="5"/>
  <c r="M14" i="5"/>
  <c r="N14" i="5" s="1"/>
  <c r="F14" i="5"/>
  <c r="M13" i="5"/>
  <c r="N13" i="5" s="1"/>
  <c r="F13" i="5"/>
  <c r="M12" i="5"/>
  <c r="N12" i="5" s="1"/>
  <c r="F12" i="5"/>
  <c r="M11" i="5"/>
  <c r="N11" i="5" s="1"/>
  <c r="F11" i="5"/>
  <c r="M10" i="5"/>
  <c r="N10" i="5" s="1"/>
  <c r="F10" i="5"/>
  <c r="M9" i="5"/>
  <c r="N9" i="5" s="1"/>
  <c r="F9" i="5"/>
  <c r="M8" i="5"/>
  <c r="N8" i="5" s="1"/>
  <c r="F8" i="5"/>
  <c r="F7" i="5"/>
  <c r="M7" i="5" s="1"/>
  <c r="N7" i="5" s="1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M19" i="4"/>
  <c r="N19" i="4" s="1"/>
  <c r="F19" i="4"/>
  <c r="M18" i="4"/>
  <c r="N18" i="4" s="1"/>
  <c r="F18" i="4"/>
  <c r="M17" i="4"/>
  <c r="N17" i="4" s="1"/>
  <c r="F17" i="4"/>
  <c r="M16" i="4"/>
  <c r="N16" i="4" s="1"/>
  <c r="F16" i="4"/>
  <c r="M15" i="4"/>
  <c r="N15" i="4" s="1"/>
  <c r="F15" i="4"/>
  <c r="M14" i="4"/>
  <c r="N14" i="4" s="1"/>
  <c r="F14" i="4"/>
  <c r="M13" i="4"/>
  <c r="N13" i="4" s="1"/>
  <c r="F13" i="4"/>
  <c r="M12" i="4"/>
  <c r="N12" i="4" s="1"/>
  <c r="F12" i="4"/>
  <c r="M11" i="4"/>
  <c r="N11" i="4" s="1"/>
  <c r="F11" i="4"/>
  <c r="M10" i="4"/>
  <c r="N10" i="4" s="1"/>
  <c r="F10" i="4"/>
  <c r="M9" i="4"/>
  <c r="N9" i="4" s="1"/>
  <c r="F9" i="4"/>
  <c r="M8" i="4"/>
  <c r="N8" i="4" s="1"/>
  <c r="F8" i="4"/>
  <c r="F7" i="4"/>
  <c r="M7" i="4" s="1"/>
  <c r="N7" i="4" s="1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M19" i="3"/>
  <c r="N19" i="3" s="1"/>
  <c r="F19" i="3"/>
  <c r="M18" i="3"/>
  <c r="N18" i="3" s="1"/>
  <c r="F18" i="3"/>
  <c r="M17" i="3"/>
  <c r="N17" i="3" s="1"/>
  <c r="F17" i="3"/>
  <c r="M16" i="3"/>
  <c r="N16" i="3" s="1"/>
  <c r="F16" i="3"/>
  <c r="M15" i="3"/>
  <c r="N15" i="3" s="1"/>
  <c r="F15" i="3"/>
  <c r="M14" i="3"/>
  <c r="N14" i="3" s="1"/>
  <c r="F14" i="3"/>
  <c r="M13" i="3"/>
  <c r="N13" i="3" s="1"/>
  <c r="F13" i="3"/>
  <c r="M12" i="3"/>
  <c r="N12" i="3" s="1"/>
  <c r="F12" i="3"/>
  <c r="M11" i="3"/>
  <c r="N11" i="3" s="1"/>
  <c r="F11" i="3"/>
  <c r="M10" i="3"/>
  <c r="N10" i="3" s="1"/>
  <c r="F10" i="3"/>
  <c r="M9" i="3"/>
  <c r="N9" i="3" s="1"/>
  <c r="F9" i="3"/>
  <c r="M8" i="3"/>
  <c r="N8" i="3" s="1"/>
  <c r="F8" i="3"/>
  <c r="F7" i="3"/>
  <c r="M7" i="3" s="1"/>
  <c r="N7" i="3" s="1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M19" i="2"/>
  <c r="N19" i="2" s="1"/>
  <c r="F19" i="2"/>
  <c r="M18" i="2"/>
  <c r="N18" i="2" s="1"/>
  <c r="F18" i="2"/>
  <c r="M17" i="2"/>
  <c r="N17" i="2" s="1"/>
  <c r="F17" i="2"/>
  <c r="M16" i="2"/>
  <c r="N16" i="2" s="1"/>
  <c r="F16" i="2"/>
  <c r="M15" i="2"/>
  <c r="N15" i="2" s="1"/>
  <c r="F15" i="2"/>
  <c r="M14" i="2"/>
  <c r="N14" i="2" s="1"/>
  <c r="F14" i="2"/>
  <c r="M13" i="2"/>
  <c r="N13" i="2" s="1"/>
  <c r="F13" i="2"/>
  <c r="M12" i="2"/>
  <c r="N12" i="2" s="1"/>
  <c r="F12" i="2"/>
  <c r="M11" i="2"/>
  <c r="N11" i="2" s="1"/>
  <c r="F11" i="2"/>
  <c r="M10" i="2"/>
  <c r="N10" i="2" s="1"/>
  <c r="F10" i="2"/>
  <c r="M9" i="2"/>
  <c r="N9" i="2" s="1"/>
  <c r="F9" i="2"/>
  <c r="F8" i="2"/>
  <c r="M8" i="2" s="1"/>
  <c r="N8" i="2" s="1"/>
  <c r="F7" i="2"/>
  <c r="M7" i="2" s="1"/>
  <c r="N7" i="2" s="1"/>
  <c r="F7" i="1"/>
  <c r="M7" i="1" s="1"/>
  <c r="F8" i="1"/>
  <c r="M8" i="1" s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M9" i="1"/>
  <c r="M10" i="1"/>
  <c r="M11" i="1"/>
  <c r="M12" i="1"/>
  <c r="M13" i="1"/>
  <c r="M14" i="1"/>
  <c r="M15" i="1"/>
  <c r="M16" i="1"/>
  <c r="M17" i="1"/>
  <c r="M18" i="1"/>
  <c r="M19" i="1"/>
  <c r="M11" i="6" l="1"/>
  <c r="N11" i="6" s="1"/>
  <c r="N7" i="6"/>
  <c r="M13" i="7"/>
  <c r="N13" i="7" s="1"/>
  <c r="M8" i="7"/>
  <c r="N8" i="7" s="1"/>
  <c r="M12" i="7"/>
  <c r="N12" i="7" s="1"/>
  <c r="M9" i="7"/>
  <c r="N9" i="7" s="1"/>
  <c r="K7" i="8"/>
  <c r="J7" i="8"/>
  <c r="E16" i="8"/>
  <c r="F16" i="8" s="1"/>
  <c r="E17" i="8"/>
  <c r="F17" i="8" s="1"/>
  <c r="E19" i="8"/>
  <c r="F19" i="8" s="1"/>
  <c r="E15" i="8"/>
  <c r="F15" i="8" s="1"/>
  <c r="E11" i="8"/>
  <c r="F11" i="8" s="1"/>
  <c r="E7" i="8"/>
  <c r="F7" i="8" s="1"/>
  <c r="E18" i="8"/>
  <c r="F18" i="8" s="1"/>
  <c r="E14" i="8"/>
  <c r="F14" i="8" s="1"/>
  <c r="E10" i="8"/>
  <c r="F10" i="8" s="1"/>
  <c r="E13" i="8" l="1"/>
  <c r="F13" i="8" s="1"/>
  <c r="E8" i="8"/>
  <c r="F8" i="8" s="1"/>
  <c r="E12" i="8"/>
  <c r="F12" i="8" s="1"/>
  <c r="E9" i="8"/>
  <c r="F9" i="8" s="1"/>
  <c r="J8" i="8" l="1"/>
  <c r="K8" i="8"/>
</calcChain>
</file>

<file path=xl/sharedStrings.xml><?xml version="1.0" encoding="utf-8"?>
<sst xmlns="http://schemas.openxmlformats.org/spreadsheetml/2006/main" count="500" uniqueCount="154">
  <si>
    <t>موضوع</t>
  </si>
  <si>
    <t>ساعت شروع</t>
  </si>
  <si>
    <t>ساعت پایان</t>
  </si>
  <si>
    <t>دسته بندی</t>
  </si>
  <si>
    <t>توضیحات</t>
  </si>
  <si>
    <t>خواب شب</t>
  </si>
  <si>
    <t>شخصی</t>
  </si>
  <si>
    <t>آموزش تکنالوژی</t>
  </si>
  <si>
    <t>پروژه</t>
  </si>
  <si>
    <t>رفت و آمد</t>
  </si>
  <si>
    <t>کار خانه</t>
  </si>
  <si>
    <t>متفرقه</t>
  </si>
  <si>
    <t xml:space="preserve">مسعولیت شرکت </t>
  </si>
  <si>
    <t>ورزش</t>
  </si>
  <si>
    <t>مطالعه</t>
  </si>
  <si>
    <t xml:space="preserve">درس </t>
  </si>
  <si>
    <t>برنامه های جمعی</t>
  </si>
  <si>
    <t>فعالیت ها خارجی</t>
  </si>
  <si>
    <t xml:space="preserve">فعالیت پیش بینی شده </t>
  </si>
  <si>
    <t>مقدار فعالیت</t>
  </si>
  <si>
    <t>میزان تفاوت</t>
  </si>
  <si>
    <t>ردیف</t>
  </si>
  <si>
    <t>مقدار به دقیقه</t>
  </si>
  <si>
    <t>مجموع فعالیت های پیش بینی شده</t>
  </si>
  <si>
    <t>مجموع فعالیت ها</t>
  </si>
  <si>
    <t>جمع دقایق پیش بینی شده</t>
  </si>
  <si>
    <t>جمع مجموع  فعالیت ها</t>
  </si>
  <si>
    <t xml:space="preserve">به دقیقه </t>
  </si>
  <si>
    <t>به ساعت</t>
  </si>
  <si>
    <t>خواب</t>
  </si>
  <si>
    <t>شنبه</t>
  </si>
  <si>
    <t>آمدن به طرف شرکت</t>
  </si>
  <si>
    <t>انجام پروژه</t>
  </si>
  <si>
    <t>رفتن به طرف خانه</t>
  </si>
  <si>
    <t>غذای چاشت</t>
  </si>
  <si>
    <t>استراحت</t>
  </si>
  <si>
    <t>غذای شب</t>
  </si>
  <si>
    <t>یکشنبه</t>
  </si>
  <si>
    <t>۱۴۰۴/۸/۱۸</t>
  </si>
  <si>
    <t>دو شنبه</t>
  </si>
  <si>
    <t>سه شنبه</t>
  </si>
  <si>
    <t>چهار شنبه</t>
  </si>
  <si>
    <t>پنجشنبه</t>
  </si>
  <si>
    <t>جمعه</t>
  </si>
  <si>
    <t xml:space="preserve">عناوین گزارش </t>
  </si>
  <si>
    <t xml:space="preserve">ساعت شروع </t>
  </si>
  <si>
    <t>ساعت پایان کار ( از زمان ۲۴ ساعته استفاده شود)</t>
  </si>
  <si>
    <t>ساعت شروع کار (از زمان ۲۴ ساعته استفاده شود)</t>
  </si>
  <si>
    <t xml:space="preserve">دسته بندی </t>
  </si>
  <si>
    <t>یکی از گزینه های که مربوط به کار شما میشود را انتخاب کنید</t>
  </si>
  <si>
    <t xml:space="preserve">توضیحات </t>
  </si>
  <si>
    <t>در قسمت توضیحات بعضی موارد نیاز به توضیحات ندارد فقط باید بخش موضوع برایش یک تیتر انتخاب شود و لی بعضی موارد نیاز به توضیحات دارد</t>
  </si>
  <si>
    <t xml:space="preserve">لیست گزینه ها </t>
  </si>
  <si>
    <t>موارد که شامل آن گزینه میشود</t>
  </si>
  <si>
    <t>خواب که در طول شب میکنید</t>
  </si>
  <si>
    <t xml:space="preserve">شخصی </t>
  </si>
  <si>
    <t>نیاز به توضیحات دارد؟</t>
  </si>
  <si>
    <t>نخیر</t>
  </si>
  <si>
    <t>بلی</t>
  </si>
  <si>
    <t>نظافت، غذا خوردن، و کارهای دیگر که باید در توضیحات گفته شود که چی بوده</t>
  </si>
  <si>
    <t>ویدیو های آموزشی : ICDL، و برنامه نویسی</t>
  </si>
  <si>
    <t xml:space="preserve">برای تمام  کار های که انجام دادی یک تیتر انتخاب میکنی </t>
  </si>
  <si>
    <t>در قسمت موضوع باید اسم مقصد که میروید را ذکر کنید</t>
  </si>
  <si>
    <t>کار های که در خانه انجام میدهید مثل سودا آوردن و بعضی کار های دیگر</t>
  </si>
  <si>
    <t>بلی باید قسمت را که دیدید ذکر کنید</t>
  </si>
  <si>
    <t>مسعولیت شرکت</t>
  </si>
  <si>
    <t xml:space="preserve">تدریس، مسعولیت های شرکت(مدیریت پروژه ، مدیریت نیروی انسانی وغیره)، نظافت شرکت </t>
  </si>
  <si>
    <t xml:space="preserve">ورزش </t>
  </si>
  <si>
    <t>فوتبال روز های پنجشنبه، حوض، و هر ورزش دیگر</t>
  </si>
  <si>
    <t>کتاب های غیر درسی، و کتاب های درسی</t>
  </si>
  <si>
    <t>درس</t>
  </si>
  <si>
    <t>مکتب، پوهنتون، کورس</t>
  </si>
  <si>
    <t>جلسه، تفریحات</t>
  </si>
  <si>
    <t>فعالیت های خارجی</t>
  </si>
  <si>
    <t>کار کردن در بیرون از شرکت</t>
  </si>
  <si>
    <t>مبایل چک کردن، مهمانی، تفریح، استراحت، عروسی وغیره.....</t>
  </si>
  <si>
    <t>تاریخ</t>
  </si>
  <si>
    <t>باید هر روز تاریخ را اپدیت کنید</t>
  </si>
  <si>
    <t xml:space="preserve">ردیف </t>
  </si>
  <si>
    <t>در جدول دوم</t>
  </si>
  <si>
    <t>فقط باید ستون فعالیت پیش بینی شده را حتما روزانه پر کنید</t>
  </si>
  <si>
    <t>فعالیت پیش بینی شده باید حتما پر شود</t>
  </si>
  <si>
    <t>تمام گزارشات هفته باید در یک فایل و هر روز در شیت مخصوص خودش پر شود</t>
  </si>
  <si>
    <t>ساعت ها باید دقیق نوشته شود تعغیر به اندازه پنج دقیقه مشکلی ندارد ولی بیشتر از آن باید دقیق نوشته شود</t>
  </si>
  <si>
    <t>اگر هنگام کار کردن و دیدن ویدیو برای ۵ یا ۱۰ دقیقه تفریح میکنید باید آنرا در گزارش برسانید</t>
  </si>
  <si>
    <t>نکات که باید در نوشتن گزارش رعایت شود</t>
  </si>
  <si>
    <t>گزارشات هر هفته به روز پنجشنبه ساعت ۵ جمع آوری میشود بعد از ساعت پنج گزارش مورد قبول نیست</t>
  </si>
  <si>
    <t>صبحانه</t>
  </si>
  <si>
    <t>آمدنی به شرکت</t>
  </si>
  <si>
    <t>پروزه</t>
  </si>
  <si>
    <t>تفرح</t>
  </si>
  <si>
    <t xml:space="preserve">سیستم کزارش دهی </t>
  </si>
  <si>
    <t xml:space="preserve">غذای ظهر </t>
  </si>
  <si>
    <t>نوشتن گزارش</t>
  </si>
  <si>
    <t xml:space="preserve">نظافت </t>
  </si>
  <si>
    <t>=</t>
  </si>
  <si>
    <t>۱۴۰۴/۸/24</t>
  </si>
  <si>
    <t>غذا خوردن</t>
  </si>
  <si>
    <t xml:space="preserve">پروژه کار کردم </t>
  </si>
  <si>
    <t>تفریح</t>
  </si>
  <si>
    <t>غدای ظهر و نماز</t>
  </si>
  <si>
    <t>آموزش</t>
  </si>
  <si>
    <t>رفتن به خانه</t>
  </si>
  <si>
    <t>چای نوشیدم و قصه با فامیل</t>
  </si>
  <si>
    <t xml:space="preserve">در درس های برادر زاده ام کمک کردم </t>
  </si>
  <si>
    <t>فیلم دیدن</t>
  </si>
  <si>
    <t>۱۴۰۴/۸/26</t>
  </si>
  <si>
    <t>متفرفه</t>
  </si>
  <si>
    <t xml:space="preserve">نماز برنامه ریزی روزانه </t>
  </si>
  <si>
    <t xml:space="preserve">صبحانه </t>
  </si>
  <si>
    <t xml:space="preserve">ۀمدن به طرف شرکت </t>
  </si>
  <si>
    <t xml:space="preserve">کار پروزه </t>
  </si>
  <si>
    <t xml:space="preserve">تفریحه </t>
  </si>
  <si>
    <t xml:space="preserve">آموزش </t>
  </si>
  <si>
    <t>تکراری قسمت 21 از آموزش asp,net</t>
  </si>
  <si>
    <t>غذای ظهر</t>
  </si>
  <si>
    <t>عدا و نماز ظهر</t>
  </si>
  <si>
    <t>تکراری قسمت 22 از آموزش asp,net</t>
  </si>
  <si>
    <t>چای و قصه با فامیل</t>
  </si>
  <si>
    <t>کمک و همکار ی درخانه</t>
  </si>
  <si>
    <t>در درسهای برادر زاده ام همکاری کردم</t>
  </si>
  <si>
    <t xml:space="preserve">فیلم دیدم </t>
  </si>
  <si>
    <t>۱۴۰۴/۸/27</t>
  </si>
  <si>
    <t xml:space="preserve">نماز تهیه برنامه روزانه </t>
  </si>
  <si>
    <t>آمدن به شرکت</t>
  </si>
  <si>
    <t>how to implament rol base autorization in a system</t>
  </si>
  <si>
    <t xml:space="preserve"> کار ی پروژه</t>
  </si>
  <si>
    <t>سیستم گزارش دهی</t>
  </si>
  <si>
    <t xml:space="preserve">استراحت </t>
  </si>
  <si>
    <t>عذای ظهر</t>
  </si>
  <si>
    <t>کاری پروژه</t>
  </si>
  <si>
    <t>تفریحه</t>
  </si>
  <si>
    <t>چای وقصه با فامیل</t>
  </si>
  <si>
    <t xml:space="preserve">هکاری در خانه </t>
  </si>
  <si>
    <t xml:space="preserve">هم کاری دردرس های برادر زاده ام </t>
  </si>
  <si>
    <t>عذای شب</t>
  </si>
  <si>
    <t xml:space="preserve">همکاری در خانه </t>
  </si>
  <si>
    <t>نظافت شخصی</t>
  </si>
  <si>
    <t xml:space="preserve">درس های asp.net   قسمت 22 و23 </t>
  </si>
  <si>
    <t>۱۴۰۴/۸/28</t>
  </si>
  <si>
    <t>نماز صبح و تهیه برنامه روزانه</t>
  </si>
  <si>
    <t xml:space="preserve">آمدن به شرکت </t>
  </si>
  <si>
    <t>فوتبال</t>
  </si>
  <si>
    <t xml:space="preserve">کاری پروزه </t>
  </si>
  <si>
    <t>سیستم کزارش دهی</t>
  </si>
  <si>
    <t xml:space="preserve">رفتن به خانه </t>
  </si>
  <si>
    <t xml:space="preserve">کای خانه </t>
  </si>
  <si>
    <t xml:space="preserve">خرید مصارف برای دو هفته </t>
  </si>
  <si>
    <t>۱۴۰۴/۸/29</t>
  </si>
  <si>
    <t>قسمت یاردهم آموزش سی شارب را دیدم</t>
  </si>
  <si>
    <t xml:space="preserve">آموزش سی شارب منبع سایت w3school </t>
  </si>
  <si>
    <t>۱۴۰۴/9/2</t>
  </si>
  <si>
    <t>مسولیت های شرکت</t>
  </si>
  <si>
    <t xml:space="preserve">کاری تغییرات در اطاق ها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</si>
</sst>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3000401]0"/>
    <numFmt numFmtId="165" formatCode="[$-409]h:mm\ AM/PM;@"/>
    <numFmt numFmtId="166" formatCode="[$-3000000]h:mm"/>
  </numFmts>
  <fonts count="9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B Titr"/>
      <charset val="178"/>
    </font>
    <font>
      <sz val="14"/>
      <color theme="1"/>
      <name val="B Titr"/>
      <charset val="178"/>
    </font>
    <font>
      <sz val="14"/>
      <color theme="0"/>
      <name val="B Titr"/>
      <charset val="178"/>
    </font>
    <font>
      <sz val="11"/>
      <color theme="0"/>
      <name val="Aptos Narrow"/>
      <family val="2"/>
      <scheme val="minor"/>
    </font>
    <font>
      <sz val="16"/>
      <color theme="0"/>
      <name val="B Titr"/>
      <charset val="178"/>
    </font>
    <font>
      <b/>
      <sz val="16"/>
      <color theme="1"/>
      <name val="B Titr"/>
      <charset val="178"/>
    </font>
    <font>
      <sz val="12"/>
      <color theme="1"/>
      <name val="B Titr"/>
      <charset val="178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9D3A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2" fontId="3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center"/>
    </xf>
    <xf numFmtId="1" fontId="8" fillId="0" borderId="1" xfId="0" applyNumberFormat="1" applyFont="1" applyBorder="1" applyAlignment="1" applyProtection="1">
      <alignment horizontal="center"/>
      <protection locked="0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1" fontId="8" fillId="0" borderId="2" xfId="0" applyNumberFormat="1" applyFont="1" applyBorder="1" applyAlignment="1" applyProtection="1">
      <alignment horizontal="center"/>
      <protection locked="0"/>
    </xf>
    <xf numFmtId="1" fontId="8" fillId="5" borderId="2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B Titr"/>
        <charset val="178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 Titr"/>
        <charset val="178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 Titr"/>
        <charset val="178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B Titr"/>
        <charset val="178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B Titr"/>
        <charset val="178"/>
        <scheme val="none"/>
      </font>
      <fill>
        <patternFill>
          <fgColor indexed="64"/>
          <bgColor rgb="FFF9D3A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sz val="14"/>
        <name val="B Titr"/>
        <charset val="178"/>
        <scheme val="none"/>
      </font>
      <fill>
        <patternFill patternType="solid">
          <fgColor indexed="64"/>
          <bgColor rgb="FFF9D3A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sz val="14"/>
        <name val="B Titr"/>
        <charset val="178"/>
        <scheme val="none"/>
      </font>
      <fill>
        <patternFill patternType="solid">
          <fgColor indexed="64"/>
          <bgColor rgb="FFF9D3A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sz val="12"/>
        <name val="B Titr"/>
        <charset val="178"/>
        <scheme val="none"/>
      </font>
      <numFmt numFmtId="1" formatCode="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sz val="12"/>
        <name val="B Titr"/>
        <charset val="17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5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numFmt numFmtId="164" formatCode="[$-3000401]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0"/>
        <name val="B Titr"/>
        <charset val="178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B Titr"/>
        <charset val="178"/>
        <scheme val="none"/>
      </font>
    </dxf>
    <dxf>
      <font>
        <color theme="0"/>
      </font>
      <fill>
        <gradientFill degree="270">
          <stop position="0">
            <color theme="0"/>
          </stop>
          <stop position="1">
            <color theme="5" tint="-0.25098422193060094"/>
          </stop>
        </gradient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</dxfs>
  <tableStyles count="2" defaultTableStyle="TableStyleMedium2" defaultPivotStyle="PivotStyleLight16">
    <tableStyle name="Table Style 1" pivot="0" count="3" xr9:uid="{EB14E8CF-570D-4E44-8AEA-AED05ECB1532}">
      <tableStyleElement type="headerRow" dxfId="151"/>
      <tableStyleElement type="firstRowStripe" dxfId="150"/>
      <tableStyleElement type="secondRowStripe" dxfId="149"/>
    </tableStyle>
    <tableStyle name="Table Style 2" pivot="0" count="2" xr9:uid="{D9BE25B6-4F67-4CF3-A682-41AA655FAFC6}">
      <tableStyleElement type="headerRow" dxfId="148"/>
      <tableStyleElement type="firstRowStripe" dxfId="147"/>
    </tableStyle>
  </tableStyles>
  <colors>
    <mruColors>
      <color rgb="FFF9D3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فعالیت روزانه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شنبه!$L$6</c:f>
              <c:strCache>
                <c:ptCount val="1"/>
                <c:pt idx="0">
                  <c:v>فعالیت پیش بینی شده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شنبه!$L$7:$L$19</c:f>
              <c:numCache>
                <c:formatCode>General</c:formatCode>
                <c:ptCount val="13"/>
                <c:pt idx="0" formatCode="[$-3000401]0">
                  <c:v>420</c:v>
                </c:pt>
                <c:pt idx="1">
                  <c:v>100</c:v>
                </c:pt>
                <c:pt idx="2">
                  <c:v>180</c:v>
                </c:pt>
                <c:pt idx="3">
                  <c:v>120</c:v>
                </c:pt>
                <c:pt idx="4">
                  <c:v>60</c:v>
                </c:pt>
                <c:pt idx="5" formatCode="[$-3000401]0">
                  <c:v>90</c:v>
                </c:pt>
                <c:pt idx="6" formatCode="[$-3000401]0">
                  <c:v>240</c:v>
                </c:pt>
                <c:pt idx="7" formatCode="[$-3000401]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C-4C6F-A574-6D54114878E3}"/>
            </c:ext>
          </c:extLst>
        </c:ser>
        <c:ser>
          <c:idx val="1"/>
          <c:order val="1"/>
          <c:tx>
            <c:strRef>
              <c:f>شنبه!$M$6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شنبه!$M$7:$M$19</c:f>
              <c:numCache>
                <c:formatCode>0</c:formatCode>
                <c:ptCount val="13"/>
                <c:pt idx="0">
                  <c:v>470.00000000000011</c:v>
                </c:pt>
                <c:pt idx="1">
                  <c:v>314.99999999999977</c:v>
                </c:pt>
                <c:pt idx="2">
                  <c:v>0</c:v>
                </c:pt>
                <c:pt idx="3">
                  <c:v>370</c:v>
                </c:pt>
                <c:pt idx="4">
                  <c:v>180.00000000000009</c:v>
                </c:pt>
                <c:pt idx="5">
                  <c:v>0</c:v>
                </c:pt>
                <c:pt idx="6">
                  <c:v>24.999999999999911</c:v>
                </c:pt>
                <c:pt idx="7">
                  <c:v>0</c:v>
                </c:pt>
                <c:pt idx="8">
                  <c:v>0</c:v>
                </c:pt>
                <c:pt idx="9">
                  <c:v>30.000000000000053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C-4C6F-A574-6D54114878E3}"/>
            </c:ext>
          </c:extLst>
        </c:ser>
        <c:ser>
          <c:idx val="2"/>
          <c:order val="2"/>
          <c:tx>
            <c:strRef>
              <c:f>شنبه!$N$6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شنبه!$N$7:$N$19</c:f>
              <c:numCache>
                <c:formatCode>General</c:formatCode>
                <c:ptCount val="13"/>
                <c:pt idx="0">
                  <c:v>-50.000000000000114</c:v>
                </c:pt>
                <c:pt idx="1">
                  <c:v>-214.99999999999977</c:v>
                </c:pt>
                <c:pt idx="2">
                  <c:v>0</c:v>
                </c:pt>
                <c:pt idx="3">
                  <c:v>-250</c:v>
                </c:pt>
                <c:pt idx="4">
                  <c:v>-120.00000000000009</c:v>
                </c:pt>
                <c:pt idx="5">
                  <c:v>0</c:v>
                </c:pt>
                <c:pt idx="6">
                  <c:v>215.00000000000009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4C-4C6F-A574-6D5411487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3807"/>
        <c:axId val="198237167"/>
      </c:barChart>
      <c:catAx>
        <c:axId val="1982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67"/>
        <c:crosses val="autoZero"/>
        <c:auto val="1"/>
        <c:lblAlgn val="ctr"/>
        <c:lblOffset val="100"/>
        <c:noMultiLvlLbl val="0"/>
      </c:catAx>
      <c:valAx>
        <c:axId val="1982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-3000401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فعالیت روزانه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یکشنبه!$L$6</c:f>
              <c:strCache>
                <c:ptCount val="1"/>
                <c:pt idx="0">
                  <c:v>فعالیت پیش بینی شده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یکشنبه!$K$7:$K$19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یکشنبه!$L$7:$L$19</c:f>
              <c:numCache>
                <c:formatCode>0</c:formatCode>
                <c:ptCount val="13"/>
                <c:pt idx="0">
                  <c:v>420</c:v>
                </c:pt>
                <c:pt idx="1">
                  <c:v>180</c:v>
                </c:pt>
                <c:pt idx="2">
                  <c:v>180</c:v>
                </c:pt>
                <c:pt idx="3">
                  <c:v>240</c:v>
                </c:pt>
                <c:pt idx="4">
                  <c:v>180</c:v>
                </c:pt>
                <c:pt idx="5">
                  <c:v>120</c:v>
                </c:pt>
                <c:pt idx="6">
                  <c:v>180</c:v>
                </c:pt>
                <c:pt idx="7">
                  <c:v>120</c:v>
                </c:pt>
                <c:pt idx="8">
                  <c:v>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B-4325-8517-4C091EC97227}"/>
            </c:ext>
          </c:extLst>
        </c:ser>
        <c:ser>
          <c:idx val="1"/>
          <c:order val="1"/>
          <c:tx>
            <c:strRef>
              <c:f>یکشنبه!$M$6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یکشنبه!$K$7:$K$19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یکشنبه!$M$7:$M$19</c:f>
              <c:numCache>
                <c:formatCode>0</c:formatCode>
                <c:ptCount val="13"/>
                <c:pt idx="0">
                  <c:v>430.00000000000006</c:v>
                </c:pt>
                <c:pt idx="1">
                  <c:v>205</c:v>
                </c:pt>
                <c:pt idx="2">
                  <c:v>119.99999999999997</c:v>
                </c:pt>
                <c:pt idx="3">
                  <c:v>265</c:v>
                </c:pt>
                <c:pt idx="4">
                  <c:v>188.00000000000006</c:v>
                </c:pt>
                <c:pt idx="5">
                  <c:v>90</c:v>
                </c:pt>
                <c:pt idx="6">
                  <c:v>0</c:v>
                </c:pt>
                <c:pt idx="7">
                  <c:v>104.99999999999994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B-4325-8517-4C091EC97227}"/>
            </c:ext>
          </c:extLst>
        </c:ser>
        <c:ser>
          <c:idx val="2"/>
          <c:order val="2"/>
          <c:tx>
            <c:strRef>
              <c:f>یکشنبه!$N$6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یکشنبه!$K$7:$K$19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یکشنبه!$N$7:$N$19</c:f>
              <c:numCache>
                <c:formatCode>General</c:formatCode>
                <c:ptCount val="13"/>
                <c:pt idx="0">
                  <c:v>-10.000000000000057</c:v>
                </c:pt>
                <c:pt idx="1">
                  <c:v>-25</c:v>
                </c:pt>
                <c:pt idx="2">
                  <c:v>60.000000000000028</c:v>
                </c:pt>
                <c:pt idx="3">
                  <c:v>-25</c:v>
                </c:pt>
                <c:pt idx="4">
                  <c:v>-8.0000000000000568</c:v>
                </c:pt>
                <c:pt idx="5">
                  <c:v>30</c:v>
                </c:pt>
                <c:pt idx="6">
                  <c:v>0</c:v>
                </c:pt>
                <c:pt idx="7">
                  <c:v>15.000000000000057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B-4325-8517-4C091EC9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3807"/>
        <c:axId val="198237167"/>
      </c:barChart>
      <c:catAx>
        <c:axId val="1982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67"/>
        <c:crosses val="autoZero"/>
        <c:auto val="1"/>
        <c:lblAlgn val="ctr"/>
        <c:lblOffset val="100"/>
        <c:noMultiLvlLbl val="0"/>
      </c:catAx>
      <c:valAx>
        <c:axId val="1982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فعالیت روزانه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دوشنبه!$L$6</c:f>
              <c:strCache>
                <c:ptCount val="1"/>
                <c:pt idx="0">
                  <c:v>فعالیت پیش بینی شده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دوشنبه!$K$7:$K$20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دوشنبه!$L$7:$L$20</c:f>
              <c:numCache>
                <c:formatCode>0</c:formatCode>
                <c:ptCount val="14"/>
                <c:pt idx="0" formatCode="General">
                  <c:v>420</c:v>
                </c:pt>
                <c:pt idx="1">
                  <c:v>180</c:v>
                </c:pt>
                <c:pt idx="2">
                  <c:v>180</c:v>
                </c:pt>
                <c:pt idx="3">
                  <c:v>300</c:v>
                </c:pt>
                <c:pt idx="4">
                  <c:v>240</c:v>
                </c:pt>
                <c:pt idx="5">
                  <c:v>180</c:v>
                </c:pt>
                <c:pt idx="6">
                  <c:v>120</c:v>
                </c:pt>
                <c:pt idx="7">
                  <c:v>180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9-4B5A-AB4E-5C74346AFFBC}"/>
            </c:ext>
          </c:extLst>
        </c:ser>
        <c:ser>
          <c:idx val="1"/>
          <c:order val="1"/>
          <c:tx>
            <c:strRef>
              <c:f>دوشنبه!$M$6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دوشنبه!$K$7:$K$20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دوشنبه!$M$7:$M$20</c:f>
              <c:numCache>
                <c:formatCode>0</c:formatCode>
                <c:ptCount val="14"/>
                <c:pt idx="0">
                  <c:v>419.99999999999994</c:v>
                </c:pt>
                <c:pt idx="1">
                  <c:v>234.99999999999989</c:v>
                </c:pt>
                <c:pt idx="2">
                  <c:v>104.99999999999994</c:v>
                </c:pt>
                <c:pt idx="3">
                  <c:v>310.00000000000011</c:v>
                </c:pt>
                <c:pt idx="4">
                  <c:v>175</c:v>
                </c:pt>
                <c:pt idx="5">
                  <c:v>80.000000000000028</c:v>
                </c:pt>
                <c:pt idx="6">
                  <c:v>119.99999999999994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39-4B5A-AB4E-5C74346AFFBC}"/>
            </c:ext>
          </c:extLst>
        </c:ser>
        <c:ser>
          <c:idx val="2"/>
          <c:order val="2"/>
          <c:tx>
            <c:strRef>
              <c:f>دوشنبه!$N$6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دوشنبه!$K$7:$K$20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دوشنبه!$N$7:$N$20</c:f>
              <c:numCache>
                <c:formatCode>General</c:formatCode>
                <c:ptCount val="14"/>
                <c:pt idx="0">
                  <c:v>0</c:v>
                </c:pt>
                <c:pt idx="1">
                  <c:v>-54.999999999999886</c:v>
                </c:pt>
                <c:pt idx="2">
                  <c:v>75.000000000000057</c:v>
                </c:pt>
                <c:pt idx="3">
                  <c:v>-10.000000000000114</c:v>
                </c:pt>
                <c:pt idx="4">
                  <c:v>65</c:v>
                </c:pt>
                <c:pt idx="5">
                  <c:v>99.999999999999972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9-4B5A-AB4E-5C74346AF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3807"/>
        <c:axId val="198237167"/>
      </c:barChart>
      <c:catAx>
        <c:axId val="1982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67"/>
        <c:crosses val="autoZero"/>
        <c:auto val="1"/>
        <c:lblAlgn val="ctr"/>
        <c:lblOffset val="100"/>
        <c:noMultiLvlLbl val="0"/>
      </c:catAx>
      <c:valAx>
        <c:axId val="1982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فعالیت روزانه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'سه شنبه'!$L$6</c:f>
              <c:strCache>
                <c:ptCount val="1"/>
                <c:pt idx="0">
                  <c:v>فعالیت پیش بینی شده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'سه شنبه'!$K$7:$K$19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'سه شنبه'!$L$7:$L$19</c:f>
              <c:numCache>
                <c:formatCode>General</c:formatCode>
                <c:ptCount val="13"/>
                <c:pt idx="0" formatCode="[$-3000401]0">
                  <c:v>420</c:v>
                </c:pt>
                <c:pt idx="1">
                  <c:v>240</c:v>
                </c:pt>
                <c:pt idx="2">
                  <c:v>180</c:v>
                </c:pt>
                <c:pt idx="3">
                  <c:v>300</c:v>
                </c:pt>
                <c:pt idx="4">
                  <c:v>180</c:v>
                </c:pt>
                <c:pt idx="5" formatCode="[$-3000401]0">
                  <c:v>60</c:v>
                </c:pt>
                <c:pt idx="6" formatCode="[$-3000401]0">
                  <c:v>120</c:v>
                </c:pt>
                <c:pt idx="7" formatCode="[$-3000401]0">
                  <c:v>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0-4A0A-812C-78EDF7608120}"/>
            </c:ext>
          </c:extLst>
        </c:ser>
        <c:ser>
          <c:idx val="1"/>
          <c:order val="1"/>
          <c:tx>
            <c:strRef>
              <c:f>'سه شنبه'!$M$6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'سه شنبه'!$K$7:$K$19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'سه شنبه'!$M$7:$M$19</c:f>
              <c:numCache>
                <c:formatCode>0</c:formatCode>
                <c:ptCount val="13"/>
                <c:pt idx="0">
                  <c:v>430.00000000000006</c:v>
                </c:pt>
                <c:pt idx="1">
                  <c:v>279.99999999999977</c:v>
                </c:pt>
                <c:pt idx="2">
                  <c:v>79.999999999999957</c:v>
                </c:pt>
                <c:pt idx="3">
                  <c:v>305.00000000000011</c:v>
                </c:pt>
                <c:pt idx="4">
                  <c:v>180</c:v>
                </c:pt>
                <c:pt idx="5">
                  <c:v>60.000000000000107</c:v>
                </c:pt>
                <c:pt idx="6">
                  <c:v>59.999999999999943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0-4A0A-812C-78EDF7608120}"/>
            </c:ext>
          </c:extLst>
        </c:ser>
        <c:ser>
          <c:idx val="2"/>
          <c:order val="2"/>
          <c:tx>
            <c:strRef>
              <c:f>'سه شنبه'!$N$6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'سه شنبه'!$K$7:$K$19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'سه شنبه'!$N$7:$N$19</c:f>
              <c:numCache>
                <c:formatCode>General</c:formatCode>
                <c:ptCount val="13"/>
                <c:pt idx="0">
                  <c:v>-10.000000000000057</c:v>
                </c:pt>
                <c:pt idx="1">
                  <c:v>-39.999999999999773</c:v>
                </c:pt>
                <c:pt idx="2">
                  <c:v>100.00000000000004</c:v>
                </c:pt>
                <c:pt idx="3">
                  <c:v>-5.0000000000001137</c:v>
                </c:pt>
                <c:pt idx="4">
                  <c:v>0</c:v>
                </c:pt>
                <c:pt idx="5">
                  <c:v>0</c:v>
                </c:pt>
                <c:pt idx="6">
                  <c:v>60.000000000000057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0-4A0A-812C-78EDF760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3807"/>
        <c:axId val="198237167"/>
      </c:barChart>
      <c:catAx>
        <c:axId val="1982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67"/>
        <c:crosses val="autoZero"/>
        <c:auto val="1"/>
        <c:lblAlgn val="ctr"/>
        <c:lblOffset val="100"/>
        <c:noMultiLvlLbl val="0"/>
      </c:catAx>
      <c:valAx>
        <c:axId val="1982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-3000401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فعالیت روزانه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'چهار شنبه'!$L$6</c:f>
              <c:strCache>
                <c:ptCount val="1"/>
                <c:pt idx="0">
                  <c:v>فعالیت پیش بینی شده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'چهار شنبه'!$K$7:$K$19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'چهار شنبه'!$L$7:$L$19</c:f>
              <c:numCache>
                <c:formatCode>General</c:formatCode>
                <c:ptCount val="13"/>
                <c:pt idx="0" formatCode="[$-3000401]0">
                  <c:v>420</c:v>
                </c:pt>
                <c:pt idx="1">
                  <c:v>240</c:v>
                </c:pt>
                <c:pt idx="2">
                  <c:v>180</c:v>
                </c:pt>
                <c:pt idx="3">
                  <c:v>300</c:v>
                </c:pt>
                <c:pt idx="4">
                  <c:v>180</c:v>
                </c:pt>
                <c:pt idx="5" formatCode="[$-3000401]0">
                  <c:v>60</c:v>
                </c:pt>
                <c:pt idx="6" formatCode="[$-3000401]0">
                  <c:v>120</c:v>
                </c:pt>
                <c:pt idx="7" formatCode="[$-3000401]0">
                  <c:v>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9-45FF-B69D-C94AFCB631DA}"/>
            </c:ext>
          </c:extLst>
        </c:ser>
        <c:ser>
          <c:idx val="1"/>
          <c:order val="1"/>
          <c:tx>
            <c:strRef>
              <c:f>'چهار شنبه'!$M$6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'چهار شنبه'!$K$7:$K$19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'چهار شنبه'!$M$7:$M$19</c:f>
              <c:numCache>
                <c:formatCode>0</c:formatCode>
                <c:ptCount val="13"/>
                <c:pt idx="0">
                  <c:v>430.00000000000006</c:v>
                </c:pt>
                <c:pt idx="1">
                  <c:v>279.99999999999989</c:v>
                </c:pt>
                <c:pt idx="2">
                  <c:v>79.999999999999957</c:v>
                </c:pt>
                <c:pt idx="3">
                  <c:v>305.00000000000011</c:v>
                </c:pt>
                <c:pt idx="4">
                  <c:v>180</c:v>
                </c:pt>
                <c:pt idx="5">
                  <c:v>90</c:v>
                </c:pt>
                <c:pt idx="6">
                  <c:v>29.999999999999972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9-45FF-B69D-C94AFCB631DA}"/>
            </c:ext>
          </c:extLst>
        </c:ser>
        <c:ser>
          <c:idx val="2"/>
          <c:order val="2"/>
          <c:tx>
            <c:strRef>
              <c:f>'چهار شنبه'!$N$6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'چهار شنبه'!$K$7:$K$19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'چهار شنبه'!$N$7:$N$19</c:f>
              <c:numCache>
                <c:formatCode>General</c:formatCode>
                <c:ptCount val="13"/>
                <c:pt idx="0">
                  <c:v>-10.000000000000057</c:v>
                </c:pt>
                <c:pt idx="1">
                  <c:v>-39.999999999999886</c:v>
                </c:pt>
                <c:pt idx="2">
                  <c:v>100.00000000000004</c:v>
                </c:pt>
                <c:pt idx="3">
                  <c:v>-5.0000000000001137</c:v>
                </c:pt>
                <c:pt idx="4">
                  <c:v>0</c:v>
                </c:pt>
                <c:pt idx="5">
                  <c:v>-30</c:v>
                </c:pt>
                <c:pt idx="6">
                  <c:v>90.000000000000028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39-45FF-B69D-C94AFCB63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3807"/>
        <c:axId val="198237167"/>
      </c:barChart>
      <c:catAx>
        <c:axId val="1982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67"/>
        <c:crosses val="autoZero"/>
        <c:auto val="1"/>
        <c:lblAlgn val="ctr"/>
        <c:lblOffset val="100"/>
        <c:noMultiLvlLbl val="0"/>
      </c:catAx>
      <c:valAx>
        <c:axId val="1982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-3000401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فعالیت روزانه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پنجشنبه!$L$6</c:f>
              <c:strCache>
                <c:ptCount val="1"/>
                <c:pt idx="0">
                  <c:v>فعالیت پیش بینی شده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پنجشنبه!$K$7:$K$19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پنجشنبه!$L$7:$L$19</c:f>
              <c:numCache>
                <c:formatCode>General</c:formatCode>
                <c:ptCount val="13"/>
                <c:pt idx="0" formatCode="[$-3000401]0">
                  <c:v>420</c:v>
                </c:pt>
                <c:pt idx="1">
                  <c:v>240</c:v>
                </c:pt>
                <c:pt idx="2">
                  <c:v>180</c:v>
                </c:pt>
                <c:pt idx="3">
                  <c:v>240</c:v>
                </c:pt>
                <c:pt idx="4">
                  <c:v>180</c:v>
                </c:pt>
                <c:pt idx="5" formatCode="[$-3000401]0">
                  <c:v>60</c:v>
                </c:pt>
                <c:pt idx="6" formatCode="[$-3000401]0">
                  <c:v>120</c:v>
                </c:pt>
                <c:pt idx="7" formatCode="[$-3000401]0">
                  <c:v>0</c:v>
                </c:pt>
                <c:pt idx="8">
                  <c:v>100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E-4968-A07C-D38F872B9343}"/>
            </c:ext>
          </c:extLst>
        </c:ser>
        <c:ser>
          <c:idx val="1"/>
          <c:order val="1"/>
          <c:tx>
            <c:strRef>
              <c:f>پنجشنبه!$M$6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پنجشنبه!$K$7:$K$19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پنجشنبه!$M$7:$M$19</c:f>
              <c:numCache>
                <c:formatCode>0</c:formatCode>
                <c:ptCount val="13"/>
                <c:pt idx="0">
                  <c:v>419.99999999999994</c:v>
                </c:pt>
                <c:pt idx="1">
                  <c:v>209.99999999999989</c:v>
                </c:pt>
                <c:pt idx="2">
                  <c:v>0</c:v>
                </c:pt>
                <c:pt idx="3">
                  <c:v>259.99999999999989</c:v>
                </c:pt>
                <c:pt idx="4">
                  <c:v>200</c:v>
                </c:pt>
                <c:pt idx="5">
                  <c:v>90</c:v>
                </c:pt>
                <c:pt idx="6">
                  <c:v>89.999999999999957</c:v>
                </c:pt>
                <c:pt idx="7">
                  <c:v>0</c:v>
                </c:pt>
                <c:pt idx="8">
                  <c:v>120.00000000000006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E-4968-A07C-D38F872B9343}"/>
            </c:ext>
          </c:extLst>
        </c:ser>
        <c:ser>
          <c:idx val="2"/>
          <c:order val="2"/>
          <c:tx>
            <c:strRef>
              <c:f>پنجشنبه!$N$6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پنجشنبه!$K$7:$K$19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پنجشنبه!$N$7:$N$19</c:f>
              <c:numCache>
                <c:formatCode>General</c:formatCode>
                <c:ptCount val="13"/>
                <c:pt idx="0">
                  <c:v>0</c:v>
                </c:pt>
                <c:pt idx="1">
                  <c:v>30.000000000000114</c:v>
                </c:pt>
                <c:pt idx="2">
                  <c:v>0</c:v>
                </c:pt>
                <c:pt idx="3">
                  <c:v>-19.999999999999886</c:v>
                </c:pt>
                <c:pt idx="4">
                  <c:v>-20</c:v>
                </c:pt>
                <c:pt idx="5">
                  <c:v>-30</c:v>
                </c:pt>
                <c:pt idx="6">
                  <c:v>30.000000000000043</c:v>
                </c:pt>
                <c:pt idx="7">
                  <c:v>0</c:v>
                </c:pt>
                <c:pt idx="8">
                  <c:v>-20.000000000000057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BE-4968-A07C-D38F872B9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3807"/>
        <c:axId val="198237167"/>
      </c:barChart>
      <c:catAx>
        <c:axId val="1982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67"/>
        <c:crosses val="autoZero"/>
        <c:auto val="1"/>
        <c:lblAlgn val="ctr"/>
        <c:lblOffset val="100"/>
        <c:noMultiLvlLbl val="0"/>
      </c:catAx>
      <c:valAx>
        <c:axId val="1982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-3000401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rs-AF"/>
              <a:t>نمودار</a:t>
            </a:r>
            <a:r>
              <a:rPr lang="prs-AF" baseline="0"/>
              <a:t> فعالیت روزانه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جمعه!$L$6</c:f>
              <c:strCache>
                <c:ptCount val="1"/>
                <c:pt idx="0">
                  <c:v>فعالیت پیش بینی شده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جمعه!$K$7:$K$19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جمعه!$L$7:$L$19</c:f>
              <c:numCache>
                <c:formatCode>General</c:formatCode>
                <c:ptCount val="13"/>
                <c:pt idx="0" formatCode="[$-3000401]0">
                  <c:v>420</c:v>
                </c:pt>
                <c:pt idx="1">
                  <c:v>100</c:v>
                </c:pt>
                <c:pt idx="2">
                  <c:v>180</c:v>
                </c:pt>
                <c:pt idx="3">
                  <c:v>120</c:v>
                </c:pt>
                <c:pt idx="4">
                  <c:v>60</c:v>
                </c:pt>
                <c:pt idx="5" formatCode="[$-3000401]0">
                  <c:v>90</c:v>
                </c:pt>
                <c:pt idx="6" formatCode="[$-3000401]0">
                  <c:v>240</c:v>
                </c:pt>
                <c:pt idx="7" formatCode="[$-3000401]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7-4DC7-867F-3D1BB25BB455}"/>
            </c:ext>
          </c:extLst>
        </c:ser>
        <c:ser>
          <c:idx val="1"/>
          <c:order val="1"/>
          <c:tx>
            <c:strRef>
              <c:f>جمعه!$M$6</c:f>
              <c:strCache>
                <c:ptCount val="1"/>
                <c:pt idx="0">
                  <c:v>مقدار فعالیت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جمعه!$K$7:$K$19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جمعه!$M$7:$M$19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E7-4DC7-867F-3D1BB25BB455}"/>
            </c:ext>
          </c:extLst>
        </c:ser>
        <c:ser>
          <c:idx val="2"/>
          <c:order val="2"/>
          <c:tx>
            <c:strRef>
              <c:f>جمعه!$N$6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جمعه!$K$7:$K$19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جمعه!$N$7:$N$19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E7-4DC7-867F-3D1BB25B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8233807"/>
        <c:axId val="198237167"/>
      </c:barChart>
      <c:catAx>
        <c:axId val="19823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7167"/>
        <c:crosses val="autoZero"/>
        <c:auto val="1"/>
        <c:lblAlgn val="ctr"/>
        <c:lblOffset val="100"/>
        <c:noMultiLvlLbl val="0"/>
      </c:catAx>
      <c:valAx>
        <c:axId val="1982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-3000401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B Titr" panose="00000700000000000000" pitchFamily="2" charset="-78"/>
              </a:defRPr>
            </a:pPr>
            <a:r>
              <a:rPr lang="prs-AF" sz="1400">
                <a:cs typeface="B Titr" panose="00000700000000000000" pitchFamily="2" charset="-78"/>
              </a:rPr>
              <a:t>نمودار</a:t>
            </a:r>
            <a:r>
              <a:rPr lang="prs-AF" sz="1400" baseline="0">
                <a:cs typeface="B Titr" panose="00000700000000000000" pitchFamily="2" charset="-78"/>
              </a:rPr>
              <a:t> نهایی</a:t>
            </a:r>
            <a:endParaRPr lang="en-US" sz="1400">
              <a:cs typeface="B Titr" panose="000007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'داده ها'!$D$6</c:f>
              <c:strCache>
                <c:ptCount val="1"/>
                <c:pt idx="0">
                  <c:v>مجموع فعالیت های پیش بینی شده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'داده ها'!$C$7:$C$19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'داده ها'!$D$7:$D$19</c:f>
              <c:numCache>
                <c:formatCode>General</c:formatCode>
                <c:ptCount val="13"/>
                <c:pt idx="0">
                  <c:v>2520</c:v>
                </c:pt>
                <c:pt idx="1">
                  <c:v>1100</c:v>
                </c:pt>
                <c:pt idx="2">
                  <c:v>1080</c:v>
                </c:pt>
                <c:pt idx="3">
                  <c:v>1380</c:v>
                </c:pt>
                <c:pt idx="4">
                  <c:v>900</c:v>
                </c:pt>
                <c:pt idx="5">
                  <c:v>540</c:v>
                </c:pt>
                <c:pt idx="6">
                  <c:v>960</c:v>
                </c:pt>
                <c:pt idx="7">
                  <c:v>480</c:v>
                </c:pt>
                <c:pt idx="8">
                  <c:v>100</c:v>
                </c:pt>
                <c:pt idx="9">
                  <c:v>120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2-499E-A273-B74005316622}"/>
            </c:ext>
          </c:extLst>
        </c:ser>
        <c:ser>
          <c:idx val="1"/>
          <c:order val="1"/>
          <c:tx>
            <c:strRef>
              <c:f>'داده ها'!$E$6</c:f>
              <c:strCache>
                <c:ptCount val="1"/>
                <c:pt idx="0">
                  <c:v>مجموع فعالیت ها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'داده ها'!$C$7:$C$19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'داده ها'!$E$7:$E$19</c:f>
              <c:numCache>
                <c:formatCode>General</c:formatCode>
                <c:ptCount val="13"/>
                <c:pt idx="0">
                  <c:v>2170</c:v>
                </c:pt>
                <c:pt idx="1">
                  <c:v>1319.9999999999991</c:v>
                </c:pt>
                <c:pt idx="2">
                  <c:v>264.99999999999983</c:v>
                </c:pt>
                <c:pt idx="3">
                  <c:v>1550</c:v>
                </c:pt>
                <c:pt idx="4">
                  <c:v>915.00000000000011</c:v>
                </c:pt>
                <c:pt idx="5">
                  <c:v>320.00000000000011</c:v>
                </c:pt>
                <c:pt idx="6">
                  <c:v>324.99999999999977</c:v>
                </c:pt>
                <c:pt idx="7">
                  <c:v>0</c:v>
                </c:pt>
                <c:pt idx="8">
                  <c:v>120.00000000000006</c:v>
                </c:pt>
                <c:pt idx="9">
                  <c:v>30.000000000000053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62-499E-A273-B74005316622}"/>
            </c:ext>
          </c:extLst>
        </c:ser>
        <c:ser>
          <c:idx val="2"/>
          <c:order val="2"/>
          <c:tx>
            <c:strRef>
              <c:f>'داده ها'!$F$6</c:f>
              <c:strCache>
                <c:ptCount val="1"/>
                <c:pt idx="0">
                  <c:v>میزان تفاوت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'داده ها'!$C$7:$C$19</c:f>
              <c:strCache>
                <c:ptCount val="13"/>
                <c:pt idx="0">
                  <c:v>خواب شب</c:v>
                </c:pt>
                <c:pt idx="1">
                  <c:v>شخصی</c:v>
                </c:pt>
                <c:pt idx="2">
                  <c:v>آموزش تکنالوژی</c:v>
                </c:pt>
                <c:pt idx="3">
                  <c:v>پروژه</c:v>
                </c:pt>
                <c:pt idx="4">
                  <c:v>رفت و آمد</c:v>
                </c:pt>
                <c:pt idx="5">
                  <c:v>کار خانه</c:v>
                </c:pt>
                <c:pt idx="6">
                  <c:v>متفرقه</c:v>
                </c:pt>
                <c:pt idx="7">
                  <c:v>مسعولیت شرکت </c:v>
                </c:pt>
                <c:pt idx="8">
                  <c:v>ورزش</c:v>
                </c:pt>
                <c:pt idx="9">
                  <c:v>مطالعه</c:v>
                </c:pt>
                <c:pt idx="10">
                  <c:v>درس </c:v>
                </c:pt>
                <c:pt idx="11">
                  <c:v>برنامه های جمعی</c:v>
                </c:pt>
                <c:pt idx="12">
                  <c:v>فعالیت ها خارجی</c:v>
                </c:pt>
              </c:strCache>
            </c:strRef>
          </c:cat>
          <c:val>
            <c:numRef>
              <c:f>'داده ها'!$F$7:$F$19</c:f>
              <c:numCache>
                <c:formatCode>General</c:formatCode>
                <c:ptCount val="13"/>
                <c:pt idx="0">
                  <c:v>350</c:v>
                </c:pt>
                <c:pt idx="1">
                  <c:v>-219.99999999999909</c:v>
                </c:pt>
                <c:pt idx="2">
                  <c:v>815.00000000000023</c:v>
                </c:pt>
                <c:pt idx="3">
                  <c:v>-170</c:v>
                </c:pt>
                <c:pt idx="4">
                  <c:v>-15.000000000000114</c:v>
                </c:pt>
                <c:pt idx="5">
                  <c:v>219.99999999999989</c:v>
                </c:pt>
                <c:pt idx="6">
                  <c:v>635.00000000000023</c:v>
                </c:pt>
                <c:pt idx="7">
                  <c:v>480</c:v>
                </c:pt>
                <c:pt idx="8">
                  <c:v>-20.000000000000057</c:v>
                </c:pt>
                <c:pt idx="9">
                  <c:v>89.999999999999943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62-499E-A273-B740053166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1587487"/>
        <c:axId val="181587967"/>
      </c:barChart>
      <c:catAx>
        <c:axId val="18158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B Titr" panose="00000700000000000000" pitchFamily="2" charset="-78"/>
              </a:defRPr>
            </a:pPr>
            <a:endParaRPr lang="en-US"/>
          </a:p>
        </c:txPr>
        <c:crossAx val="181587967"/>
        <c:crosses val="autoZero"/>
        <c:auto val="1"/>
        <c:lblAlgn val="ctr"/>
        <c:lblOffset val="100"/>
        <c:noMultiLvlLbl val="0"/>
      </c:catAx>
      <c:valAx>
        <c:axId val="1815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B Titr" panose="00000700000000000000" pitchFamily="2" charset="-78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20</xdr:row>
      <xdr:rowOff>158001</xdr:rowOff>
    </xdr:from>
    <xdr:to>
      <xdr:col>16</xdr:col>
      <xdr:colOff>231322</xdr:colOff>
      <xdr:row>33</xdr:row>
      <xdr:rowOff>299356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2E80CD-7E5D-406E-A429-FA6F3F296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20</xdr:row>
      <xdr:rowOff>158001</xdr:rowOff>
    </xdr:from>
    <xdr:to>
      <xdr:col>16</xdr:col>
      <xdr:colOff>231322</xdr:colOff>
      <xdr:row>33</xdr:row>
      <xdr:rowOff>299356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03E95-71BB-4046-BDEE-7856F85B8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20</xdr:row>
      <xdr:rowOff>158001</xdr:rowOff>
    </xdr:from>
    <xdr:to>
      <xdr:col>16</xdr:col>
      <xdr:colOff>231322</xdr:colOff>
      <xdr:row>33</xdr:row>
      <xdr:rowOff>299356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668F2-6C71-4E59-916C-044501081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20</xdr:row>
      <xdr:rowOff>158001</xdr:rowOff>
    </xdr:from>
    <xdr:to>
      <xdr:col>16</xdr:col>
      <xdr:colOff>231322</xdr:colOff>
      <xdr:row>33</xdr:row>
      <xdr:rowOff>299356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88F38-46BD-4B53-82BD-0E96ADD0A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20</xdr:row>
      <xdr:rowOff>158001</xdr:rowOff>
    </xdr:from>
    <xdr:to>
      <xdr:col>16</xdr:col>
      <xdr:colOff>231322</xdr:colOff>
      <xdr:row>33</xdr:row>
      <xdr:rowOff>299356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CEF80-2ECD-4D9F-88E5-B2C2FF77E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20</xdr:row>
      <xdr:rowOff>158001</xdr:rowOff>
    </xdr:from>
    <xdr:to>
      <xdr:col>16</xdr:col>
      <xdr:colOff>231322</xdr:colOff>
      <xdr:row>33</xdr:row>
      <xdr:rowOff>299356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08CB4-4326-4722-9530-7D3FAF711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54429</xdr:colOff>
      <xdr:row>20</xdr:row>
      <xdr:rowOff>158001</xdr:rowOff>
    </xdr:from>
    <xdr:to>
      <xdr:col>16</xdr:col>
      <xdr:colOff>231322</xdr:colOff>
      <xdr:row>33</xdr:row>
      <xdr:rowOff>299356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9D1F1-02FB-1695-0231-C31C52F35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0</xdr:rowOff>
    </xdr:from>
    <xdr:to>
      <xdr:col>18</xdr:col>
      <xdr:colOff>466724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B5A58-95C2-26F3-2DAC-A65284099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6CAFF7-B1CA-464F-9DA3-82EEC9841B40}" name="Table16" displayName="Table16" ref="B11:D24" totalsRowShown="0" headerRowDxfId="146" dataDxfId="145">
  <autoFilter ref="B11:D24" xr:uid="{C76CAFF7-B1CA-464F-9DA3-82EEC9841B40}"/>
  <tableColumns count="3">
    <tableColumn id="1" xr3:uid="{FFC900F8-A681-418A-8F08-9F09E491C1A6}" name="لیست گزینه ها " dataDxfId="144"/>
    <tableColumn id="2" xr3:uid="{F49B53F7-BDDF-4222-A861-93772D626FD4}" name="موارد که شامل آن گزینه میشود" dataDxfId="143"/>
    <tableColumn id="3" xr3:uid="{D59B9550-9B97-48FF-A530-57522CB53F21}" name="نیاز به توضیحات دارد؟" dataDxfId="1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CFEDF3-C4FF-41CE-ACC5-E68BF98D5273}" name="Table17" displayName="Table17" ref="B2:C9" totalsRowShown="0" headerRowDxfId="141" dataDxfId="140">
  <autoFilter ref="B2:C9" xr:uid="{03CFEDF3-C4FF-41CE-ACC5-E68BF98D5273}"/>
  <tableColumns count="2">
    <tableColumn id="1" xr3:uid="{F7CF9876-057A-4701-BB22-17A89B15872F}" name="عناوین گزارش " dataDxfId="139"/>
    <tableColumn id="2" xr3:uid="{40BE50BD-0656-4ED5-92C7-0722313A1830}" name="توضیحات" dataDxfId="1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25E7DC-3B9B-45BE-BFBB-FBCECD05E08F}" name="Table18" displayName="Table18" ref="B26:C32" totalsRowShown="0" headerRowDxfId="137" dataDxfId="136">
  <autoFilter ref="B26:C32" xr:uid="{8225E7DC-3B9B-45BE-BFBB-FBCECD05E08F}"/>
  <tableColumns count="2">
    <tableColumn id="1" xr3:uid="{BF7DA73F-012D-48CC-9757-2055D1E61160}" name="ردیف " dataDxfId="135"/>
    <tableColumn id="2" xr3:uid="{CE90E133-94F9-4ED8-A69F-8D7C4C0A94CE}" name="نکات که باید در نوشتن گزارش رعایت شود" dataDxfId="1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324A7E-8D7D-47A4-AB8C-37CE3D704DCF}" name="Table1468101214" displayName="Table1468101214" ref="B6:H36" totalsRowShown="0" headerRowDxfId="133" dataDxfId="132">
  <autoFilter ref="B6:H36" xr:uid="{E8A934E6-C576-4623-81F6-AA4286F1E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F5B87981-D4A0-4B1E-8A41-FA3F37EE0EAA}" name="ردیف" dataDxfId="131"/>
    <tableColumn id="1" xr3:uid="{F6F723B7-91B4-44E6-A31C-3CCA0DA89C32}" name="موضوع" dataDxfId="130"/>
    <tableColumn id="2" xr3:uid="{BF27FC9B-FAD3-4B47-88C4-9200EB593C8A}" name="ساعت شروع" dataDxfId="129"/>
    <tableColumn id="3" xr3:uid="{A0802759-9E89-4062-8934-C89667D7750A}" name="ساعت پایان" dataDxfId="128"/>
    <tableColumn id="4" xr3:uid="{BE6E8F8C-30C1-4552-BC51-D0C874B37977}" name="مقدار به دقیقه" dataDxfId="127">
      <calculatedColumnFormula>IF(OR(D7="",E7=""),"",IF(E7&gt;=D7,(E7-D7)*24*60,(E7-D7+1)*24*60))</calculatedColumnFormula>
    </tableColumn>
    <tableColumn id="5" xr3:uid="{78825431-1AE6-4C6B-9344-66BAE2B82D43}" name="دسته بندی" dataDxfId="126"/>
    <tableColumn id="6" xr3:uid="{8E91112F-45B2-4175-9574-E758675BCB59}" name="توضیحات" dataDxfId="125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5F8489-B034-402E-9A29-757B96EC6371}" name="Table2579111315" displayName="Table2579111315" ref="K6:N19" totalsRowShown="0" headerRowDxfId="124" dataDxfId="123">
  <autoFilter ref="K6:N19" xr:uid="{48519EE0-CF3E-46A5-B5C1-9B29B3D7B747}"/>
  <tableColumns count="4">
    <tableColumn id="1" xr3:uid="{B549F8EA-FA08-47CD-8520-0193C7C046D6}" name="دسته بندی" dataDxfId="122"/>
    <tableColumn id="2" xr3:uid="{60EE79D8-D9A4-41EB-8460-E0DB5FB3FE3C}" name="فعالیت پیش بینی شده " dataDxfId="121"/>
    <tableColumn id="3" xr3:uid="{358F560B-6CDE-4ECC-B6CA-FA2D530E3C07}" name="مقدار فعالیت" dataDxfId="120">
      <calculatedColumnFormula>SUMIF(Table1468101214[دسته بندی],Table2579111315[[#This Row],[دسته بندی]],Table1468101214[مقدار به دقیقه])</calculatedColumnFormula>
    </tableColumn>
    <tableColumn id="4" xr3:uid="{52F3541F-6585-4C97-B99A-3236F06D6888}" name="میزان تفاوت" dataDxfId="119">
      <calculatedColumnFormula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calculatedColumnFormula>
    </tableColumn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3FC465-D495-4299-8CB3-7EF8DAB8AB5C}" name="Table14681012" displayName="Table14681012" ref="B6:H36" totalsRowShown="0" headerRowDxfId="118" dataDxfId="117">
  <autoFilter ref="B6:H36" xr:uid="{E8A934E6-C576-4623-81F6-AA4286F1E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DBEBC058-3E01-4946-88B8-5A335C85D234}" name="ردیف" dataDxfId="116"/>
    <tableColumn id="1" xr3:uid="{7F96DA96-46D7-4630-8696-047EC2648FC4}" name="موضوع" dataDxfId="115"/>
    <tableColumn id="2" xr3:uid="{66551214-4DEB-4FDA-BF5D-3A4311EFB19F}" name="ساعت شروع" dataDxfId="114"/>
    <tableColumn id="3" xr3:uid="{B2662A41-B746-45AE-AA2E-7645F20366A3}" name="ساعت پایان" dataDxfId="113"/>
    <tableColumn id="4" xr3:uid="{F41F9F44-2F7C-4FEE-8065-5048FFB51D36}" name="مقدار به دقیقه" dataDxfId="112">
      <calculatedColumnFormula>IF(OR(D7="",E7=""),"",IF(E7&gt;=D7,(E7-D7)*24*60,(E7-D7+1)*24*60))</calculatedColumnFormula>
    </tableColumn>
    <tableColumn id="5" xr3:uid="{77628566-4F0A-46A8-9B54-00BB9B432CA4}" name="دسته بندی" dataDxfId="111"/>
    <tableColumn id="6" xr3:uid="{983A379C-DE0B-4D50-A916-C70C70942668}" name="توضیحات" dataDxfId="110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3CE0E5-F014-4E73-9413-7D2336EF5C37}" name="Table25791113" displayName="Table25791113" ref="K6:N19" totalsRowShown="0" headerRowDxfId="109" dataDxfId="108">
  <autoFilter ref="K6:N19" xr:uid="{48519EE0-CF3E-46A5-B5C1-9B29B3D7B747}"/>
  <tableColumns count="4">
    <tableColumn id="1" xr3:uid="{8270F252-1316-4E44-8062-618BCCA13072}" name="دسته بندی" dataDxfId="107"/>
    <tableColumn id="2" xr3:uid="{5E87B6F8-271E-4EB9-AF8C-174CC0AD9CDC}" name="فعالیت پیش بینی شده " dataDxfId="106"/>
    <tableColumn id="3" xr3:uid="{6BD64977-A3FE-4E74-B373-227B09651B3F}" name="مقدار فعالیت" dataDxfId="105">
      <calculatedColumnFormula>SUMIF(Table14681012[دسته بندی],Table25791113[[#This Row],[دسته بندی]],Table14681012[مقدار به دقیقه])</calculatedColumnFormula>
    </tableColumn>
    <tableColumn id="4" xr3:uid="{5007B1A9-AAAB-4BCA-8CF1-EB73F6516325}" name="میزان تفاوت" dataDxfId="104">
      <calculatedColumnFormula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calculatedColumnFormula>
    </tableColumn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E67A11-A485-4C7B-B5A0-816DEEF62596}" name="Table146810" displayName="Table146810" ref="B6:H36" totalsRowShown="0" headerRowDxfId="103" dataDxfId="102">
  <autoFilter ref="B6:H36" xr:uid="{E8A934E6-C576-4623-81F6-AA4286F1E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2D756F65-76AA-45A8-B7D1-BAB222C90B49}" name="ردیف" dataDxfId="101"/>
    <tableColumn id="1" xr3:uid="{1FF70718-876D-4586-B12D-9EE45220943F}" name="موضوع" dataDxfId="100"/>
    <tableColumn id="2" xr3:uid="{678F374B-5873-48DD-8D9A-F525DA744C80}" name="ساعت شروع" dataDxfId="99"/>
    <tableColumn id="3" xr3:uid="{FC13ACDD-1C34-4C69-842C-9D1E86093B5F}" name="ساعت پایان" dataDxfId="98"/>
    <tableColumn id="4" xr3:uid="{8C091DF8-B6C0-46F1-8877-8EB148ED4A5E}" name="مقدار به دقیقه" dataDxfId="97">
      <calculatedColumnFormula>IF(OR(D7="",E7=""),"",IF(E7&gt;=D7,(E7-D7)*24*60,(E7-D7+1)*24*60))</calculatedColumnFormula>
    </tableColumn>
    <tableColumn id="5" xr3:uid="{0087E599-73D4-408B-8529-E8AB337216F7}" name="دسته بندی" dataDxfId="96"/>
    <tableColumn id="6" xr3:uid="{3078829B-F2E2-4973-AD2A-E91C17CACBA8}" name="توضیحات" dataDxfId="95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770E55-6F31-4B58-A2C9-C672352684B4}" name="Table257911" displayName="Table257911" ref="K6:N20" totalsRowShown="0" headerRowDxfId="94" dataDxfId="93">
  <autoFilter ref="K6:N20" xr:uid="{48519EE0-CF3E-46A5-B5C1-9B29B3D7B747}"/>
  <tableColumns count="4">
    <tableColumn id="1" xr3:uid="{9AF983FD-426E-4D2A-BFBB-368F23899A74}" name="دسته بندی" dataDxfId="92"/>
    <tableColumn id="2" xr3:uid="{E662212F-23CA-40AC-B28A-4F1713515F74}" name="فعالیت پیش بینی شده " dataDxfId="91"/>
    <tableColumn id="3" xr3:uid="{696E9CEA-694E-4917-AC95-6440F6324301}" name="مقدار فعالیت" dataDxfId="90">
      <calculatedColumnFormula>SUMIF(Table146810[دسته بندی],Table257911[[#This Row],[دسته بندی]],Table146810[مقدار به دقیقه])</calculatedColumnFormula>
    </tableColumn>
    <tableColumn id="4" xr3:uid="{BFD2152A-1D05-4411-A092-A54F13D412FD}" name="میزان تفاوت" dataDxfId="89">
      <calculatedColumnFormula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calculatedColumnFormula>
    </tableColumn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12A556-FD1D-485C-B76C-67B1D09E6D92}" name="Table1468" displayName="Table1468" ref="B6:H36" totalsRowShown="0" headerRowDxfId="88" dataDxfId="87">
  <autoFilter ref="B6:H36" xr:uid="{E8A934E6-C576-4623-81F6-AA4286F1E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44A239E4-29A6-44A3-AAFD-FA7F20B22729}" name="ردیف" dataDxfId="86"/>
    <tableColumn id="1" xr3:uid="{CF1FD528-57C0-4DCB-BE17-2AD5BA56F72E}" name="موضوع" dataDxfId="85"/>
    <tableColumn id="2" xr3:uid="{81446228-BA4D-411A-9474-9AE04518519D}" name="ساعت شروع" dataDxfId="84"/>
    <tableColumn id="3" xr3:uid="{68AAC719-1D51-439F-AB43-6FBD28FCB632}" name="ساعت پایان" dataDxfId="83"/>
    <tableColumn id="4" xr3:uid="{82A5C629-30D3-4082-83FC-6828AFCBAD99}" name="مقدار به دقیقه" dataDxfId="82">
      <calculatedColumnFormula>IF(OR(D7="",E7=""),"",IF(E7&gt;=D7,(E7-D7)*24*60,(E7-D7+1)*24*60))</calculatedColumnFormula>
    </tableColumn>
    <tableColumn id="5" xr3:uid="{956DF2D5-4914-4533-B2E0-5C3A66B30A57}" name="دسته بندی" dataDxfId="81"/>
    <tableColumn id="6" xr3:uid="{8B2876EE-7893-4966-B6E6-80085B593A26}" name="توضیحات" dataDxfId="80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BD6875-000E-43B1-9B7F-DA004C4FABF3}" name="Table2579" displayName="Table2579" ref="K6:N19" totalsRowShown="0" headerRowDxfId="79" dataDxfId="78">
  <autoFilter ref="K6:N19" xr:uid="{48519EE0-CF3E-46A5-B5C1-9B29B3D7B747}"/>
  <tableColumns count="4">
    <tableColumn id="1" xr3:uid="{EA522FBA-A64E-4F0A-9818-81EB9188F34B}" name="دسته بندی" dataDxfId="77"/>
    <tableColumn id="2" xr3:uid="{B5AF4B52-50C4-485C-B439-078E4DA18492}" name="فعالیت پیش بینی شده " dataDxfId="76"/>
    <tableColumn id="3" xr3:uid="{D934539E-22E4-4D8C-AC74-1FE6FA59FDFB}" name="مقدار فعالیت" dataDxfId="75">
      <calculatedColumnFormula>SUMIF(Table1468[دسته بندی],Table2579[[#This Row],[دسته بندی]],Table1468[مقدار به دقیقه])</calculatedColumnFormula>
    </tableColumn>
    <tableColumn id="4" xr3:uid="{2BF71A63-1307-4592-AE2C-FF497F687545}" name="میزان تفاوت" dataDxfId="74">
      <calculatedColumnFormula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calculatedColumnFormula>
    </tableColumn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795EDE-7E57-428D-B022-62F31380475D}" name="Table146" displayName="Table146" ref="B6:H36" totalsRowShown="0" headerRowDxfId="73" dataDxfId="72">
  <autoFilter ref="B6:H36" xr:uid="{E8A934E6-C576-4623-81F6-AA4286F1E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119D87E6-4E3F-41DF-99E7-A0D4929E399F}" name="ردیف" dataDxfId="71"/>
    <tableColumn id="1" xr3:uid="{35994310-6265-449D-9435-0700DB73F96A}" name="موضوع" dataDxfId="70"/>
    <tableColumn id="2" xr3:uid="{64974B54-6B8B-4884-AF25-78F90589E46D}" name="ساعت شروع" dataDxfId="69"/>
    <tableColumn id="3" xr3:uid="{6B7EFC3F-0D62-4913-BA43-B7283E081E56}" name="ساعت پایان" dataDxfId="68"/>
    <tableColumn id="4" xr3:uid="{A9C876CA-5FD8-42D0-891E-6BC72CE5645D}" name="مقدار به دقیقه" dataDxfId="67">
      <calculatedColumnFormula>IF(OR(D7="",E7=""),"",IF(E7&gt;=D7,(E7-D7)*24*60,(E7-D7+1)*24*60))</calculatedColumnFormula>
    </tableColumn>
    <tableColumn id="5" xr3:uid="{43B98BE4-1600-4D31-BB5A-DBA8A39CA4D9}" name="دسته بندی" dataDxfId="66"/>
    <tableColumn id="6" xr3:uid="{29143A87-37B6-4BA6-9FA9-8E5DA522EC69}" name="توضیحات" dataDxfId="65"/>
  </tableColumns>
  <tableStyleInfo name="Table Style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7CBB11-1256-4899-95ED-B7414CC52432}" name="Table257" displayName="Table257" ref="K6:N19" totalsRowShown="0" headerRowDxfId="64" dataDxfId="63">
  <autoFilter ref="K6:N19" xr:uid="{48519EE0-CF3E-46A5-B5C1-9B29B3D7B747}"/>
  <tableColumns count="4">
    <tableColumn id="1" xr3:uid="{01733ABD-645B-4488-A5AE-E028B870BA90}" name="دسته بندی" dataDxfId="62"/>
    <tableColumn id="2" xr3:uid="{70CBC8DF-2798-417D-B0B6-6C2CCB71AA19}" name="فعالیت پیش بینی شده " dataDxfId="61"/>
    <tableColumn id="3" xr3:uid="{CACFD937-5DF3-442F-9E3D-C3BDEB388373}" name="مقدار فعالیت" dataDxfId="60">
      <calculatedColumnFormula>SUMIF(Table146[دسته بندی],Table257[[#This Row],[دسته بندی]],Table146[مقدار به دقیقه])</calculatedColumnFormula>
    </tableColumn>
    <tableColumn id="4" xr3:uid="{605F6D8E-D6A9-4056-AE38-CAC2F8ABDC7C}" name="میزان تفاوت" dataDxfId="59">
      <calculatedColumnFormula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calculatedColumnFormula>
    </tableColumn>
  </tableColumns>
  <tableStyleInfo name="Table Style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75AF5E-4C94-4262-838F-8091961A1B25}" name="Table14" displayName="Table14" ref="B6:H36" totalsRowShown="0" headerRowDxfId="58" dataDxfId="57">
  <autoFilter ref="B6:H36" xr:uid="{E8A934E6-C576-4623-81F6-AA4286F1E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FEE12411-1268-46CF-91F4-CBDC8D0C9C1A}" name="ردیف" dataDxfId="56"/>
    <tableColumn id="1" xr3:uid="{94D115E7-2D29-411D-840F-4F54897C17A6}" name="موضوع" dataDxfId="55"/>
    <tableColumn id="2" xr3:uid="{B050D0B0-7116-4122-90C7-CA11950048F5}" name="ساعت شروع" dataDxfId="54"/>
    <tableColumn id="3" xr3:uid="{6CEFA714-136E-4B95-9109-99DE2A98D632}" name="ساعت پایان" dataDxfId="53"/>
    <tableColumn id="4" xr3:uid="{F2395590-46E5-4969-8989-943D5106A098}" name="مقدار به دقیقه" dataDxfId="52">
      <calculatedColumnFormula>IF(OR(D7="",E7=""),"",IF(E7&gt;=D7,(E7-D7)*24*60,(E7-D7+1)*24*60))</calculatedColumnFormula>
    </tableColumn>
    <tableColumn id="5" xr3:uid="{DD20A06B-CD58-464B-925C-E5FF62701BD2}" name="دسته بندی" dataDxfId="51"/>
    <tableColumn id="6" xr3:uid="{CE15B060-B241-4ED6-B598-82F89CADF46C}" name="توضیحات" dataDxfId="50"/>
  </tableColumns>
  <tableStyleInfo name="Table Style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9E8725-3228-44E0-B431-AC36EFBE014A}" name="Table25" displayName="Table25" ref="K6:N19" totalsRowShown="0" headerRowDxfId="49" dataDxfId="48">
  <autoFilter ref="K6:N19" xr:uid="{48519EE0-CF3E-46A5-B5C1-9B29B3D7B747}"/>
  <tableColumns count="4">
    <tableColumn id="1" xr3:uid="{0CA71F92-0FD4-4C95-B6C2-5C3A27C2B916}" name="دسته بندی" dataDxfId="47"/>
    <tableColumn id="2" xr3:uid="{B870E787-5F47-411D-9A8A-5B5783FC5EB5}" name="فعالیت پیش بینی شده " dataDxfId="46"/>
    <tableColumn id="3" xr3:uid="{A13F1616-AA0A-409D-A6E8-46289DC1C65B}" name="مقدار فعالیت" dataDxfId="45">
      <calculatedColumnFormula>SUMIF(Table14[دسته بندی],Table25[[#This Row],[دسته بندی]],Table14[مقدار به دقیقه])</calculatedColumnFormula>
    </tableColumn>
    <tableColumn id="4" xr3:uid="{987A52D3-1F6B-4267-9E10-B01F4E5D9CBE}" name="میزان تفاوت" dataDxfId="44">
      <calculatedColumnFormula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calculatedColumnFormula>
    </tableColumn>
  </tableColumns>
  <tableStyleInfo name="Table Style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934E6-C576-4623-81F6-AA4286F1E31D}" name="Table1" displayName="Table1" ref="B6:H36" totalsRowShown="0" headerRowDxfId="43" dataDxfId="42">
  <autoFilter ref="B6:H36" xr:uid="{E8A934E6-C576-4623-81F6-AA4286F1E3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7" xr3:uid="{83D34A2F-B786-4157-B76B-ED203A747105}" name="ردیف" dataDxfId="41"/>
    <tableColumn id="1" xr3:uid="{D1281940-16EC-4353-8036-C3AB153F4EF2}" name="موضوع" dataDxfId="40"/>
    <tableColumn id="2" xr3:uid="{1A2FFF58-3F65-4AFC-9071-FFBB1D19510C}" name="ساعت شروع" dataDxfId="39"/>
    <tableColumn id="3" xr3:uid="{7EBFA041-1DD5-4DA0-9915-2A78957DB9A9}" name="ساعت پایان" dataDxfId="38"/>
    <tableColumn id="4" xr3:uid="{C3E64DD1-A61C-482C-AAC6-041BFD616799}" name="مقدار به دقیقه" dataDxfId="37">
      <calculatedColumnFormula>IF(OR(D7="",E7=""),"",IF(E7&gt;=D7,(E7-D7)*24*60,(E7-D7+1)*24*60))</calculatedColumnFormula>
    </tableColumn>
    <tableColumn id="5" xr3:uid="{4A9487FA-B15F-4974-89BD-24A8A20C4238}" name="دسته بندی" dataDxfId="36"/>
    <tableColumn id="6" xr3:uid="{3E81D6C1-D3D1-43E4-B8B2-F9401741F244}" name="توضیحات" dataDxfId="35"/>
  </tableColumns>
  <tableStyleInfo name="Table Style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519EE0-CF3E-46A5-B5C1-9B29B3D7B747}" name="Table2" displayName="Table2" ref="K6:N19" totalsRowShown="0" headerRowDxfId="34" dataDxfId="33">
  <autoFilter ref="K6:N19" xr:uid="{48519EE0-CF3E-46A5-B5C1-9B29B3D7B747}"/>
  <tableColumns count="4">
    <tableColumn id="1" xr3:uid="{41D957A7-0CDB-461B-9712-8E77A4BA11B1}" name="دسته بندی" dataDxfId="32"/>
    <tableColumn id="2" xr3:uid="{7E70594E-D3F6-4E16-B630-3E3FD15C41B3}" name="فعالیت پیش بینی شده " dataDxfId="31"/>
    <tableColumn id="3" xr3:uid="{DB9F09DC-EAB2-4434-AA8A-A508253C2C51}" name="مقدار فعالیت" dataDxfId="30">
      <calculatedColumnFormula>SUMIF(Table1[دسته بندی],Table2[[#This Row],[دسته بندی]],Table1[مقدار به دقیقه])</calculatedColumnFormula>
    </tableColumn>
    <tableColumn id="4" xr3:uid="{3B770E65-3740-4B4B-A815-AB5191CB1AB5}" name="میزان تفاوت" dataDxfId="29">
      <calculatedColumnFormula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calculatedColumnFormula>
    </tableColumn>
  </tableColumns>
  <tableStyleInfo name="Table Style 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04B2E81-7160-40C4-96A5-B6D1956D924A}" name="Table15" displayName="Table15" ref="C6:F19" totalsRowShown="0" headerRowDxfId="28">
  <autoFilter ref="C6:F19" xr:uid="{204B2E81-7160-40C4-96A5-B6D1956D924A}"/>
  <tableColumns count="4">
    <tableColumn id="1" xr3:uid="{D73DEB7B-14D3-4FDE-969B-7610AEB53D29}" name="دسته بندی"/>
    <tableColumn id="2" xr3:uid="{B49F4A39-9691-48D0-A95E-1D37D68524B9}" name="مجموع فعالیت های پیش بینی شده" dataDxfId="27">
      <calculatedColumnFormula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calculatedColumnFormula>
    </tableColumn>
    <tableColumn id="3" xr3:uid="{95A32BAB-5BA4-4BFF-961B-1A6D989D977E}" name="مجموع فعالیت ها" dataDxfId="26">
      <calculatedColumnFormula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calculatedColumnFormula>
    </tableColumn>
    <tableColumn id="4" xr3:uid="{276CD86E-1FFA-4AD5-91D7-C3238BA18BF6}" name="میزان تفاوت" dataDxfId="25">
      <calculatedColumnFormula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image" Target="../media/image1.jpeg"/><Relationship Id="rId1" Type="http://schemas.openxmlformats.org/officeDocument/2006/relationships/drawing" Target="../drawings/drawing2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image" Target="../media/image1.jpeg"/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image" Target="../media/image1.jpeg"/><Relationship Id="rId1" Type="http://schemas.openxmlformats.org/officeDocument/2006/relationships/drawing" Target="../drawings/drawing4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image" Target="../media/image1.jpeg"/><Relationship Id="rId1" Type="http://schemas.openxmlformats.org/officeDocument/2006/relationships/drawing" Target="../drawings/drawing5.xml"/><Relationship Id="rId4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image" Target="../media/image1.jpeg"/><Relationship Id="rId1" Type="http://schemas.openxmlformats.org/officeDocument/2006/relationships/drawing" Target="../drawings/drawing6.xml"/><Relationship Id="rId4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image" Target="../media/image1.jpeg"/><Relationship Id="rId1" Type="http://schemas.openxmlformats.org/officeDocument/2006/relationships/drawing" Target="../drawings/drawing7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image" Target="../media/image1.jpeg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B44C-A6A5-44AB-B66B-FCD87F750190}">
  <dimension ref="B2:D32"/>
  <sheetViews>
    <sheetView rightToLeft="1" topLeftCell="C20" zoomScale="70" zoomScaleNormal="70" workbookViewId="0">
      <selection activeCell="C31" sqref="C31"/>
    </sheetView>
  </sheetViews>
  <sheetFormatPr defaultRowHeight="15"/>
  <cols>
    <col min="2" max="2" width="27" customWidth="1"/>
    <col min="3" max="3" width="157.28515625" customWidth="1"/>
    <col min="4" max="4" width="68.28515625" customWidth="1"/>
  </cols>
  <sheetData>
    <row r="2" spans="2:4" ht="20.25">
      <c r="B2" s="26" t="s">
        <v>44</v>
      </c>
      <c r="C2" s="26" t="s">
        <v>4</v>
      </c>
    </row>
    <row r="3" spans="2:4" ht="20.25">
      <c r="B3" s="26" t="s">
        <v>0</v>
      </c>
      <c r="C3" s="26" t="s">
        <v>61</v>
      </c>
    </row>
    <row r="4" spans="2:4" ht="20.25">
      <c r="B4" s="26" t="s">
        <v>45</v>
      </c>
      <c r="C4" s="26" t="s">
        <v>47</v>
      </c>
    </row>
    <row r="5" spans="2:4" ht="20.25">
      <c r="B5" s="26" t="s">
        <v>2</v>
      </c>
      <c r="C5" s="26" t="s">
        <v>46</v>
      </c>
    </row>
    <row r="6" spans="2:4" ht="20.25">
      <c r="B6" s="26" t="s">
        <v>48</v>
      </c>
      <c r="C6" s="26" t="s">
        <v>49</v>
      </c>
    </row>
    <row r="7" spans="2:4" ht="20.25">
      <c r="B7" s="26" t="s">
        <v>50</v>
      </c>
      <c r="C7" s="26" t="s">
        <v>51</v>
      </c>
    </row>
    <row r="8" spans="2:4" ht="20.25">
      <c r="B8" s="26" t="s">
        <v>76</v>
      </c>
      <c r="C8" s="26" t="s">
        <v>77</v>
      </c>
    </row>
    <row r="9" spans="2:4" ht="31.5" customHeight="1">
      <c r="B9" s="26" t="s">
        <v>79</v>
      </c>
      <c r="C9" s="26" t="s">
        <v>80</v>
      </c>
    </row>
    <row r="10" spans="2:4" ht="27.75" customHeight="1"/>
    <row r="11" spans="2:4" ht="20.25">
      <c r="B11" s="25" t="s">
        <v>52</v>
      </c>
      <c r="C11" s="25" t="s">
        <v>53</v>
      </c>
      <c r="D11" s="25" t="s">
        <v>56</v>
      </c>
    </row>
    <row r="12" spans="2:4" ht="20.25">
      <c r="B12" s="25" t="s">
        <v>5</v>
      </c>
      <c r="C12" s="25" t="s">
        <v>54</v>
      </c>
      <c r="D12" s="25" t="s">
        <v>57</v>
      </c>
    </row>
    <row r="13" spans="2:4" ht="20.25">
      <c r="B13" s="25" t="s">
        <v>55</v>
      </c>
      <c r="C13" s="25" t="s">
        <v>59</v>
      </c>
      <c r="D13" s="25" t="s">
        <v>58</v>
      </c>
    </row>
    <row r="14" spans="2:4" ht="20.25">
      <c r="B14" s="25" t="s">
        <v>7</v>
      </c>
      <c r="C14" s="25" t="s">
        <v>60</v>
      </c>
      <c r="D14" s="25" t="s">
        <v>64</v>
      </c>
    </row>
    <row r="15" spans="2:4" ht="20.25">
      <c r="B15" s="25" t="s">
        <v>8</v>
      </c>
      <c r="C15" s="25"/>
      <c r="D15" s="25" t="s">
        <v>58</v>
      </c>
    </row>
    <row r="16" spans="2:4" ht="20.25">
      <c r="B16" s="25" t="s">
        <v>9</v>
      </c>
      <c r="C16" s="25" t="s">
        <v>62</v>
      </c>
      <c r="D16" s="25" t="s">
        <v>57</v>
      </c>
    </row>
    <row r="17" spans="2:4" ht="20.25">
      <c r="B17" s="25" t="s">
        <v>10</v>
      </c>
      <c r="C17" s="25" t="s">
        <v>63</v>
      </c>
      <c r="D17" s="25" t="s">
        <v>58</v>
      </c>
    </row>
    <row r="18" spans="2:4" ht="20.25">
      <c r="B18" s="25" t="s">
        <v>11</v>
      </c>
      <c r="C18" s="25" t="s">
        <v>75</v>
      </c>
      <c r="D18" s="25" t="s">
        <v>58</v>
      </c>
    </row>
    <row r="19" spans="2:4" ht="20.25">
      <c r="B19" s="25" t="s">
        <v>65</v>
      </c>
      <c r="C19" s="25" t="s">
        <v>66</v>
      </c>
      <c r="D19" s="25" t="s">
        <v>57</v>
      </c>
    </row>
    <row r="20" spans="2:4" ht="20.25">
      <c r="B20" s="25" t="s">
        <v>67</v>
      </c>
      <c r="C20" s="25" t="s">
        <v>68</v>
      </c>
      <c r="D20" s="25" t="s">
        <v>57</v>
      </c>
    </row>
    <row r="21" spans="2:4" ht="20.25">
      <c r="B21" s="25" t="s">
        <v>14</v>
      </c>
      <c r="C21" s="25" t="s">
        <v>69</v>
      </c>
      <c r="D21" s="25" t="s">
        <v>57</v>
      </c>
    </row>
    <row r="22" spans="2:4" ht="20.25">
      <c r="B22" s="25" t="s">
        <v>70</v>
      </c>
      <c r="C22" s="25" t="s">
        <v>71</v>
      </c>
      <c r="D22" s="25" t="s">
        <v>57</v>
      </c>
    </row>
    <row r="23" spans="2:4" ht="20.25">
      <c r="B23" s="25" t="s">
        <v>16</v>
      </c>
      <c r="C23" s="25" t="s">
        <v>72</v>
      </c>
      <c r="D23" s="25" t="s">
        <v>57</v>
      </c>
    </row>
    <row r="24" spans="2:4" ht="20.25">
      <c r="B24" s="25" t="s">
        <v>73</v>
      </c>
      <c r="C24" s="25" t="s">
        <v>74</v>
      </c>
      <c r="D24" s="25" t="s">
        <v>57</v>
      </c>
    </row>
    <row r="26" spans="2:4" ht="20.25">
      <c r="B26" s="26" t="s">
        <v>78</v>
      </c>
      <c r="C26" s="26" t="s">
        <v>85</v>
      </c>
    </row>
    <row r="27" spans="2:4" ht="20.25">
      <c r="B27" s="27">
        <v>1</v>
      </c>
      <c r="C27" s="26" t="s">
        <v>81</v>
      </c>
    </row>
    <row r="28" spans="2:4" ht="20.25">
      <c r="B28" s="27">
        <v>2</v>
      </c>
      <c r="C28" s="26" t="s">
        <v>82</v>
      </c>
    </row>
    <row r="29" spans="2:4" ht="20.25">
      <c r="B29" s="27">
        <v>3</v>
      </c>
      <c r="C29" s="26" t="s">
        <v>83</v>
      </c>
    </row>
    <row r="30" spans="2:4" ht="20.25">
      <c r="B30" s="27">
        <v>4</v>
      </c>
      <c r="C30" s="26" t="s">
        <v>84</v>
      </c>
    </row>
    <row r="31" spans="2:4" ht="20.25">
      <c r="B31" s="27">
        <v>5</v>
      </c>
      <c r="C31" s="26" t="s">
        <v>86</v>
      </c>
    </row>
    <row r="32" spans="2:4" ht="20.25">
      <c r="B32" s="27">
        <v>6</v>
      </c>
      <c r="C32" s="26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8199-3F06-49E0-8452-DE7EB79A8B3C}">
  <dimension ref="B5:N36"/>
  <sheetViews>
    <sheetView showGridLines="0" rightToLeft="1" topLeftCell="A6" zoomScale="80" zoomScaleNormal="80" workbookViewId="0">
      <selection activeCell="D21" sqref="D21"/>
    </sheetView>
  </sheetViews>
  <sheetFormatPr defaultRowHeight="15"/>
  <cols>
    <col min="3" max="3" width="23.5703125" customWidth="1"/>
    <col min="4" max="4" width="16.5703125" customWidth="1"/>
    <col min="5" max="5" width="17.5703125" customWidth="1"/>
    <col min="6" max="6" width="17.28515625" customWidth="1"/>
    <col min="7" max="7" width="19.5703125" customWidth="1"/>
    <col min="8" max="8" width="44.42578125" customWidth="1"/>
    <col min="11" max="11" width="19.28515625" customWidth="1"/>
    <col min="12" max="12" width="25" customWidth="1"/>
    <col min="13" max="13" width="28.42578125" customWidth="1"/>
    <col min="14" max="14" width="17.42578125" customWidth="1"/>
  </cols>
  <sheetData>
    <row r="5" spans="2:14" ht="20.25">
      <c r="B5" s="34" t="s">
        <v>30</v>
      </c>
      <c r="C5" s="35"/>
      <c r="D5" s="35"/>
      <c r="E5" s="34" t="s">
        <v>96</v>
      </c>
      <c r="F5" s="35"/>
      <c r="G5" s="35"/>
      <c r="H5" s="35"/>
    </row>
    <row r="6" spans="2:14" ht="20.25">
      <c r="B6" s="12" t="s">
        <v>21</v>
      </c>
      <c r="C6" s="12" t="s">
        <v>0</v>
      </c>
      <c r="D6" s="12" t="s">
        <v>1</v>
      </c>
      <c r="E6" s="12" t="s">
        <v>2</v>
      </c>
      <c r="F6" s="12" t="s">
        <v>22</v>
      </c>
      <c r="G6" s="12" t="s">
        <v>3</v>
      </c>
      <c r="H6" s="12" t="s">
        <v>4</v>
      </c>
      <c r="I6" s="14"/>
      <c r="J6" s="14"/>
      <c r="K6" s="13" t="s">
        <v>3</v>
      </c>
      <c r="L6" s="13" t="s">
        <v>18</v>
      </c>
      <c r="M6" s="13" t="s">
        <v>19</v>
      </c>
      <c r="N6" s="13" t="s">
        <v>20</v>
      </c>
    </row>
    <row r="7" spans="2:14" ht="20.25">
      <c r="B7" s="17">
        <v>1</v>
      </c>
      <c r="C7" s="16" t="s">
        <v>29</v>
      </c>
      <c r="D7" s="18">
        <v>0.91666666666666663</v>
      </c>
      <c r="E7" s="18">
        <v>0.24305555555555555</v>
      </c>
      <c r="F7" s="19">
        <f t="shared" ref="F7:F36" si="0">IF(OR(D7="",E7=""),"",IF(E7&gt;=D7,(E7-D7)*24*60,(E7-D7+1)*24*60))</f>
        <v>470.00000000000011</v>
      </c>
      <c r="G7" s="16" t="s">
        <v>5</v>
      </c>
      <c r="H7" s="16"/>
      <c r="K7" s="21" t="s">
        <v>5</v>
      </c>
      <c r="L7" s="22">
        <v>420</v>
      </c>
      <c r="M7" s="23">
        <f>SUMIF(Table1468101214[دسته بندی],Table2579111315[[#This Row],[دسته بندی]],Table1468101214[مقدار به دقیقه])</f>
        <v>470.00000000000011</v>
      </c>
      <c r="N7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-50.000000000000114</v>
      </c>
    </row>
    <row r="8" spans="2:14" ht="20.25">
      <c r="B8" s="2">
        <v>2</v>
      </c>
      <c r="C8" s="1" t="s">
        <v>87</v>
      </c>
      <c r="D8" s="4">
        <v>0.25</v>
      </c>
      <c r="E8" s="4">
        <v>0.27083333333333331</v>
      </c>
      <c r="F8" s="5">
        <f t="shared" si="0"/>
        <v>29.999999999999972</v>
      </c>
      <c r="G8" s="1" t="s">
        <v>6</v>
      </c>
      <c r="H8" s="1"/>
      <c r="K8" s="7" t="s">
        <v>6</v>
      </c>
      <c r="L8" s="7">
        <v>100</v>
      </c>
      <c r="M8" s="6">
        <f>SUMIF(Table1468101214[دسته بندی],Table2579111315[[#This Row],[دسته بندی]],Table1468101214[مقدار به دقیقه])</f>
        <v>314.99999999999977</v>
      </c>
      <c r="N8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-214.99999999999977</v>
      </c>
    </row>
    <row r="9" spans="2:14" ht="20.25">
      <c r="B9" s="17">
        <v>3</v>
      </c>
      <c r="C9" s="16" t="s">
        <v>88</v>
      </c>
      <c r="D9" s="18">
        <v>0.27777777777777779</v>
      </c>
      <c r="E9" s="18">
        <v>0.33333333333333331</v>
      </c>
      <c r="F9" s="19">
        <f t="shared" si="0"/>
        <v>79.999999999999957</v>
      </c>
      <c r="G9" s="16" t="s">
        <v>9</v>
      </c>
      <c r="H9" s="16"/>
      <c r="K9" s="21" t="s">
        <v>7</v>
      </c>
      <c r="L9" s="21">
        <v>180</v>
      </c>
      <c r="M9" s="23">
        <f>SUMIF(Table1468101214[دسته بندی],Table2579111315[[#This Row],[دسته بندی]],Table1468101214[مقدار به دقیقه])</f>
        <v>0</v>
      </c>
      <c r="N9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10" spans="2:14" ht="20.25">
      <c r="B10" s="2">
        <v>4</v>
      </c>
      <c r="C10" s="1" t="s">
        <v>89</v>
      </c>
      <c r="D10" s="4">
        <v>0.34027777777777779</v>
      </c>
      <c r="E10" s="4">
        <v>0.41666666666666669</v>
      </c>
      <c r="F10" s="5">
        <f t="shared" si="0"/>
        <v>110.00000000000001</v>
      </c>
      <c r="G10" s="1" t="s">
        <v>8</v>
      </c>
      <c r="H10" s="1" t="s">
        <v>91</v>
      </c>
      <c r="K10" s="7" t="s">
        <v>8</v>
      </c>
      <c r="L10" s="7">
        <v>120</v>
      </c>
      <c r="M10" s="6">
        <f>SUMIF(Table1468101214[دسته بندی],Table2579111315[[#This Row],[دسته بندی]],Table1468101214[مقدار به دقیقه])</f>
        <v>370</v>
      </c>
      <c r="N10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-250</v>
      </c>
    </row>
    <row r="11" spans="2:14" ht="20.25">
      <c r="B11" s="17">
        <v>5</v>
      </c>
      <c r="C11" s="16" t="s">
        <v>90</v>
      </c>
      <c r="D11" s="18">
        <v>0.41666666666666669</v>
      </c>
      <c r="E11" s="18">
        <v>0.42708333333333331</v>
      </c>
      <c r="F11" s="19">
        <f t="shared" si="0"/>
        <v>14.999999999999947</v>
      </c>
      <c r="G11" s="16" t="s">
        <v>6</v>
      </c>
      <c r="H11" s="16"/>
      <c r="K11" s="21" t="s">
        <v>9</v>
      </c>
      <c r="L11" s="21">
        <v>60</v>
      </c>
      <c r="M11" s="23">
        <f>SUMIF(Table1468101214[دسته بندی],Table2579111315[[#This Row],[دسته بندی]],Table1468101214[مقدار به دقیقه])</f>
        <v>180.00000000000009</v>
      </c>
      <c r="N11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-120.00000000000009</v>
      </c>
    </row>
    <row r="12" spans="2:14" ht="20.25">
      <c r="B12" s="2">
        <v>6</v>
      </c>
      <c r="C12" s="1" t="s">
        <v>32</v>
      </c>
      <c r="D12" s="4">
        <v>0.42708333333333331</v>
      </c>
      <c r="E12" s="4">
        <v>0.47916666666666669</v>
      </c>
      <c r="F12" s="5">
        <f t="shared" si="0"/>
        <v>75.000000000000057</v>
      </c>
      <c r="G12" s="1" t="s">
        <v>8</v>
      </c>
      <c r="H12" s="1" t="s">
        <v>91</v>
      </c>
      <c r="K12" s="7" t="s">
        <v>10</v>
      </c>
      <c r="L12" s="10">
        <v>90</v>
      </c>
      <c r="M12" s="6">
        <f>SUMIF(Table1468101214[دسته بندی],Table2579111315[[#This Row],[دسته بندی]],Table1468101214[مقدار به دقیقه])</f>
        <v>0</v>
      </c>
      <c r="N12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13" spans="2:14" ht="20.25">
      <c r="B13" s="17">
        <v>7</v>
      </c>
      <c r="C13" s="16" t="s">
        <v>35</v>
      </c>
      <c r="D13" s="18">
        <v>0.47916666666666669</v>
      </c>
      <c r="E13" s="18">
        <v>0.5</v>
      </c>
      <c r="F13" s="19">
        <f t="shared" si="0"/>
        <v>29.999999999999972</v>
      </c>
      <c r="G13" s="16"/>
      <c r="H13" s="16"/>
      <c r="K13" s="21" t="s">
        <v>11</v>
      </c>
      <c r="L13" s="22">
        <v>240</v>
      </c>
      <c r="M13" s="23">
        <f>SUMIF(Table1468101214[دسته بندی],Table2579111315[[#This Row],[دسته بندی]],Table1468101214[مقدار به دقیقه])</f>
        <v>24.999999999999911</v>
      </c>
      <c r="N13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215.00000000000009</v>
      </c>
    </row>
    <row r="14" spans="2:14" ht="20.25">
      <c r="B14" s="2">
        <v>8</v>
      </c>
      <c r="C14" s="9" t="s">
        <v>92</v>
      </c>
      <c r="D14" s="4">
        <v>0.5</v>
      </c>
      <c r="E14" s="4">
        <v>0.54166666666666663</v>
      </c>
      <c r="F14" s="5">
        <f t="shared" si="0"/>
        <v>59.999999999999943</v>
      </c>
      <c r="G14" s="1" t="s">
        <v>6</v>
      </c>
      <c r="H14" s="1"/>
      <c r="K14" s="7" t="s">
        <v>12</v>
      </c>
      <c r="L14" s="10">
        <v>150</v>
      </c>
      <c r="M14" s="6">
        <f>SUMIF(Table1468101214[دسته بندی],Table2579111315[[#This Row],[دسته بندی]],Table1468101214[مقدار به دقیقه])</f>
        <v>0</v>
      </c>
      <c r="N14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15" spans="2:14" ht="20.25">
      <c r="B15" s="17">
        <v>9</v>
      </c>
      <c r="C15" s="16" t="s">
        <v>32</v>
      </c>
      <c r="D15" s="18">
        <v>0.55208333333333337</v>
      </c>
      <c r="E15" s="18">
        <v>0.68055555555555558</v>
      </c>
      <c r="F15" s="19">
        <f t="shared" si="0"/>
        <v>184.99999999999997</v>
      </c>
      <c r="G15" s="16" t="s">
        <v>8</v>
      </c>
      <c r="H15" s="16"/>
      <c r="K15" s="21" t="s">
        <v>13</v>
      </c>
      <c r="L15" s="21"/>
      <c r="M15" s="23">
        <f>SUMIF(Table1468101214[دسته بندی],Table2579111315[[#This Row],[دسته بندی]],Table1468101214[مقدار به دقیقه])</f>
        <v>0</v>
      </c>
      <c r="N15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16" spans="2:14" ht="20.25">
      <c r="B16" s="2">
        <v>10</v>
      </c>
      <c r="C16" s="1" t="s">
        <v>93</v>
      </c>
      <c r="D16" s="4">
        <v>0.68055555555555558</v>
      </c>
      <c r="E16" s="4">
        <v>0.69791666666666663</v>
      </c>
      <c r="F16" s="5">
        <f t="shared" si="0"/>
        <v>24.999999999999911</v>
      </c>
      <c r="G16" s="1" t="s">
        <v>11</v>
      </c>
      <c r="H16" s="1"/>
      <c r="K16" s="7" t="s">
        <v>14</v>
      </c>
      <c r="L16" s="7"/>
      <c r="M16" s="6">
        <f>SUMIF(Table1468101214[دسته بندی],Table2579111315[[#This Row],[دسته بندی]],Table1468101214[مقدار به دقیقه])</f>
        <v>30.000000000000053</v>
      </c>
      <c r="N16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17" spans="2:14" ht="20.25">
      <c r="B17" s="17">
        <v>11</v>
      </c>
      <c r="C17" s="20" t="s">
        <v>33</v>
      </c>
      <c r="D17" s="18">
        <v>0.70138888888888884</v>
      </c>
      <c r="E17" s="18">
        <v>0.77083333333333337</v>
      </c>
      <c r="F17" s="19">
        <f t="shared" si="0"/>
        <v>100.00000000000013</v>
      </c>
      <c r="G17" s="16" t="s">
        <v>9</v>
      </c>
      <c r="H17" s="16"/>
      <c r="K17" s="21" t="s">
        <v>15</v>
      </c>
      <c r="L17" s="21"/>
      <c r="M17" s="23">
        <f>SUMIF(Table1468101214[دسته بندی],Table2579111315[[#This Row],[دسته بندی]],Table1468101214[مقدار به دقیقه])</f>
        <v>0</v>
      </c>
      <c r="N17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18" spans="2:14" ht="20.25">
      <c r="B18" s="2">
        <v>12</v>
      </c>
      <c r="C18" s="1" t="s">
        <v>90</v>
      </c>
      <c r="D18" s="4">
        <v>0.77083333333333337</v>
      </c>
      <c r="E18" s="4">
        <v>0.79166666666666663</v>
      </c>
      <c r="F18" s="5">
        <f t="shared" si="0"/>
        <v>29.999999999999893</v>
      </c>
      <c r="G18" s="1" t="s">
        <v>6</v>
      </c>
      <c r="H18" s="1"/>
      <c r="K18" s="7" t="s">
        <v>16</v>
      </c>
      <c r="L18" s="7"/>
      <c r="M18" s="6">
        <f>SUMIF(Table1468101214[دسته بندی],Table2579111315[[#This Row],[دسته بندی]],Table1468101214[مقدار به دقیقه])</f>
        <v>0</v>
      </c>
      <c r="N18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19" spans="2:14" ht="20.25">
      <c r="B19" s="17">
        <v>13</v>
      </c>
      <c r="C19" s="16" t="s">
        <v>94</v>
      </c>
      <c r="D19" s="18">
        <v>0.79166666666666663</v>
      </c>
      <c r="E19" s="18">
        <v>0.83333333333333337</v>
      </c>
      <c r="F19" s="19">
        <f t="shared" si="0"/>
        <v>60.000000000000107</v>
      </c>
      <c r="G19" s="16" t="s">
        <v>6</v>
      </c>
      <c r="H19" s="16"/>
      <c r="K19" s="21" t="s">
        <v>17</v>
      </c>
      <c r="L19" s="21"/>
      <c r="M19" s="23">
        <f>SUMIF(Table1468101214[دسته بندی],Table2579111315[[#This Row],[دسته بندی]],Table1468101214[مقدار به دقیقه])</f>
        <v>0</v>
      </c>
      <c r="N19" s="7">
        <f>IF(OR(Table2579111315[[#This Row],[فعالیت پیش بینی شده ]]=0,Table2579111315[[#This Row],[مقدار فعالیت]]=0),0,IF(ABS(Table2579111315[[#This Row],[فعالیت پیش بینی شده ]]-Table2579111315[[#This Row],[مقدار فعالیت]])&lt;0.000001,0,Table2579111315[[#This Row],[فعالیت پیش بینی شده ]]-Table2579111315[[#This Row],[مقدار فعالیت]]))</f>
        <v>0</v>
      </c>
    </row>
    <row r="20" spans="2:14" ht="20.25">
      <c r="B20" s="2">
        <v>14</v>
      </c>
      <c r="C20" s="1" t="s">
        <v>36</v>
      </c>
      <c r="D20" s="4">
        <v>0.83333333333333337</v>
      </c>
      <c r="E20" s="4">
        <v>0.875</v>
      </c>
      <c r="F20" s="5">
        <f t="shared" si="0"/>
        <v>59.999999999999943</v>
      </c>
      <c r="G20" s="1" t="s">
        <v>6</v>
      </c>
      <c r="H20" s="1"/>
    </row>
    <row r="21" spans="2:14" ht="20.25">
      <c r="B21" s="17">
        <v>15</v>
      </c>
      <c r="C21" s="20" t="s">
        <v>105</v>
      </c>
      <c r="D21" s="18">
        <v>0.875</v>
      </c>
      <c r="E21" s="18">
        <v>0.91666666666666663</v>
      </c>
      <c r="F21" s="19">
        <f t="shared" si="0"/>
        <v>59.999999999999943</v>
      </c>
      <c r="G21" s="16" t="s">
        <v>6</v>
      </c>
      <c r="H21" s="16"/>
    </row>
    <row r="22" spans="2:14" ht="20.25">
      <c r="B22" s="2">
        <v>16</v>
      </c>
      <c r="C22" s="1" t="s">
        <v>14</v>
      </c>
      <c r="D22" s="4">
        <v>0.91666666666666663</v>
      </c>
      <c r="E22" s="4">
        <v>0.9375</v>
      </c>
      <c r="F22" s="5">
        <f t="shared" si="0"/>
        <v>30.000000000000053</v>
      </c>
      <c r="G22" s="1" t="s">
        <v>14</v>
      </c>
      <c r="H22" s="1"/>
    </row>
    <row r="23" spans="2:14" ht="20.25">
      <c r="B23" s="17">
        <v>17</v>
      </c>
      <c r="C23" s="16"/>
      <c r="D23" s="18"/>
      <c r="E23" s="18"/>
      <c r="F23" s="19" t="str">
        <f t="shared" si="0"/>
        <v/>
      </c>
      <c r="G23" s="16"/>
      <c r="H23" s="16" t="s">
        <v>95</v>
      </c>
    </row>
    <row r="24" spans="2:14" ht="20.25">
      <c r="B24" s="2">
        <v>18</v>
      </c>
      <c r="C24" s="1"/>
      <c r="D24" s="4"/>
      <c r="E24" s="4"/>
      <c r="F24" s="5" t="str">
        <f t="shared" si="0"/>
        <v/>
      </c>
      <c r="G24" s="1"/>
      <c r="H24" s="1"/>
    </row>
    <row r="25" spans="2:14" ht="20.25">
      <c r="B25" s="17">
        <v>19</v>
      </c>
      <c r="C25" s="16"/>
      <c r="D25" s="18"/>
      <c r="E25" s="18"/>
      <c r="F25" s="19" t="str">
        <f t="shared" si="0"/>
        <v/>
      </c>
      <c r="G25" s="16"/>
      <c r="H25" s="16"/>
    </row>
    <row r="26" spans="2:14" ht="20.25">
      <c r="B26" s="2">
        <v>20</v>
      </c>
      <c r="C26" s="1"/>
      <c r="D26" s="4"/>
      <c r="E26" s="4"/>
      <c r="F26" s="5" t="str">
        <f t="shared" si="0"/>
        <v/>
      </c>
      <c r="G26" s="1"/>
      <c r="H26" s="1"/>
    </row>
    <row r="27" spans="2:14" ht="20.25">
      <c r="B27" s="17">
        <v>21</v>
      </c>
      <c r="C27" s="16"/>
      <c r="D27" s="18"/>
      <c r="E27" s="18"/>
      <c r="F27" s="19" t="str">
        <f t="shared" si="0"/>
        <v/>
      </c>
      <c r="G27" s="16"/>
      <c r="H27" s="16"/>
    </row>
    <row r="28" spans="2:14" ht="20.25">
      <c r="B28" s="2">
        <v>22</v>
      </c>
      <c r="C28" s="9"/>
      <c r="D28" s="4"/>
      <c r="E28" s="4"/>
      <c r="F28" s="5" t="str">
        <f t="shared" si="0"/>
        <v/>
      </c>
      <c r="G28" s="1"/>
      <c r="H28" s="1"/>
    </row>
    <row r="29" spans="2:14" ht="20.25">
      <c r="B29" s="17">
        <v>23</v>
      </c>
      <c r="C29" s="16"/>
      <c r="D29" s="18"/>
      <c r="E29" s="18"/>
      <c r="F29" s="19" t="str">
        <f t="shared" si="0"/>
        <v/>
      </c>
      <c r="G29" s="16"/>
      <c r="H29" s="16"/>
    </row>
    <row r="30" spans="2:14" ht="20.25">
      <c r="B30" s="2">
        <v>24</v>
      </c>
      <c r="C30" s="1"/>
      <c r="D30" s="4"/>
      <c r="E30" s="4"/>
      <c r="F30" s="5" t="str">
        <f t="shared" si="0"/>
        <v/>
      </c>
      <c r="G30" s="1"/>
      <c r="H30" s="1"/>
    </row>
    <row r="31" spans="2:14" ht="20.25">
      <c r="B31" s="17">
        <v>25</v>
      </c>
      <c r="C31" s="16"/>
      <c r="D31" s="18"/>
      <c r="E31" s="18"/>
      <c r="F31" s="19" t="str">
        <f t="shared" si="0"/>
        <v/>
      </c>
      <c r="G31" s="16"/>
      <c r="H31" s="16"/>
    </row>
    <row r="32" spans="2:14" ht="20.25">
      <c r="B32" s="2">
        <v>26</v>
      </c>
      <c r="C32" s="1"/>
      <c r="D32" s="4"/>
      <c r="E32" s="4"/>
      <c r="F32" s="5" t="str">
        <f t="shared" si="0"/>
        <v/>
      </c>
      <c r="G32" s="1"/>
      <c r="H32" s="1"/>
    </row>
    <row r="33" spans="2:8" ht="20.25">
      <c r="B33" s="17">
        <v>27</v>
      </c>
      <c r="C33" s="16"/>
      <c r="D33" s="18"/>
      <c r="E33" s="18"/>
      <c r="F33" s="19" t="str">
        <f t="shared" si="0"/>
        <v/>
      </c>
      <c r="G33" s="16"/>
      <c r="H33" s="16"/>
    </row>
    <row r="34" spans="2:8" ht="20.25">
      <c r="B34" s="2">
        <v>28</v>
      </c>
      <c r="C34" s="1"/>
      <c r="D34" s="4"/>
      <c r="E34" s="4"/>
      <c r="F34" s="5" t="str">
        <f t="shared" si="0"/>
        <v/>
      </c>
      <c r="G34" s="1"/>
      <c r="H34" s="1"/>
    </row>
    <row r="35" spans="2:8" ht="20.25">
      <c r="B35" s="17">
        <v>29</v>
      </c>
      <c r="C35" s="16"/>
      <c r="D35" s="18"/>
      <c r="E35" s="18"/>
      <c r="F35" s="19" t="str">
        <f t="shared" si="0"/>
        <v/>
      </c>
      <c r="G35" s="16"/>
      <c r="H35" s="16"/>
    </row>
    <row r="36" spans="2:8" ht="20.25">
      <c r="B36" s="2">
        <v>30</v>
      </c>
      <c r="C36" s="1"/>
      <c r="D36" s="4"/>
      <c r="E36" s="4"/>
      <c r="F36" s="5" t="str">
        <f t="shared" si="0"/>
        <v/>
      </c>
      <c r="G36" s="1"/>
      <c r="H36" s="1"/>
    </row>
  </sheetData>
  <mergeCells count="2">
    <mergeCell ref="B5:D5"/>
    <mergeCell ref="E5:H5"/>
  </mergeCells>
  <conditionalFormatting sqref="N7:N19">
    <cfRule type="cellIs" dxfId="24" priority="1" operator="equal">
      <formula>0</formula>
    </cfRule>
    <cfRule type="cellIs" dxfId="23" priority="2" operator="lessThan">
      <formula>0</formula>
    </cfRule>
    <cfRule type="cellIs" dxfId="22" priority="3" operator="greaterThan">
      <formula>0</formula>
    </cfRule>
  </conditionalFormatting>
  <dataValidations count="1">
    <dataValidation type="list" allowBlank="1" showInputMessage="1" showErrorMessage="1" sqref="G7:G36" xr:uid="{79785A78-928B-41DC-AA4B-64F75980C7E8}">
      <formula1>$K$7:$K$19</formula1>
    </dataValidation>
  </dataValidations>
  <pageMargins left="0.7" right="0.7" top="0.75" bottom="0.75" header="0.3" footer="0.3"/>
  <drawing r:id="rId1"/>
  <picture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D5B8-C045-4D49-B09B-098498014B0A}">
  <dimension ref="B5:N36"/>
  <sheetViews>
    <sheetView showGridLines="0" rightToLeft="1" tabSelected="1" zoomScale="80" zoomScaleNormal="80" workbookViewId="0">
      <selection activeCell="H18" sqref="H18"/>
    </sheetView>
  </sheetViews>
  <sheetFormatPr defaultRowHeight="15"/>
  <cols>
    <col min="3" max="3" width="23.5703125" customWidth="1"/>
    <col min="4" max="4" width="16.5703125" customWidth="1"/>
    <col min="5" max="5" width="17.5703125" customWidth="1"/>
    <col min="6" max="6" width="17.28515625" customWidth="1"/>
    <col min="7" max="7" width="19.5703125" customWidth="1"/>
    <col min="8" max="8" width="45.7109375" customWidth="1"/>
    <col min="11" max="11" width="19.28515625" customWidth="1"/>
    <col min="12" max="12" width="25" customWidth="1"/>
    <col min="13" max="13" width="28.42578125" customWidth="1"/>
    <col min="14" max="14" width="17.42578125" customWidth="1"/>
  </cols>
  <sheetData>
    <row r="5" spans="2:14" ht="20.25">
      <c r="B5" s="34" t="s">
        <v>37</v>
      </c>
      <c r="C5" s="34"/>
      <c r="D5" s="34"/>
      <c r="E5" s="34" t="s">
        <v>151</v>
      </c>
      <c r="F5" s="34"/>
      <c r="G5" s="34"/>
      <c r="H5" s="34"/>
    </row>
    <row r="6" spans="2:14" ht="20.25">
      <c r="B6" s="12" t="s">
        <v>21</v>
      </c>
      <c r="C6" s="12" t="s">
        <v>0</v>
      </c>
      <c r="D6" s="12" t="s">
        <v>1</v>
      </c>
      <c r="E6" s="12" t="s">
        <v>2</v>
      </c>
      <c r="F6" s="12" t="s">
        <v>22</v>
      </c>
      <c r="G6" s="12" t="s">
        <v>3</v>
      </c>
      <c r="H6" s="12" t="s">
        <v>4</v>
      </c>
      <c r="I6" s="14"/>
      <c r="J6" s="14"/>
      <c r="K6" s="13" t="s">
        <v>3</v>
      </c>
      <c r="L6" s="13" t="s">
        <v>18</v>
      </c>
      <c r="M6" s="13" t="s">
        <v>19</v>
      </c>
      <c r="N6" s="13" t="s">
        <v>20</v>
      </c>
    </row>
    <row r="7" spans="2:14" ht="20.25">
      <c r="B7" s="17">
        <v>1</v>
      </c>
      <c r="C7" s="16" t="s">
        <v>29</v>
      </c>
      <c r="D7" s="18">
        <v>0.9375</v>
      </c>
      <c r="E7" s="18">
        <v>0.2361111111111111</v>
      </c>
      <c r="F7" s="19">
        <f t="shared" ref="F7:F36" si="0">IF(OR(D7="",E7=""),"",IF(E7&gt;=D7,(E7-D7)*24*60,(E7-D7+1)*24*60))</f>
        <v>430.00000000000006</v>
      </c>
      <c r="G7" s="16" t="s">
        <v>5</v>
      </c>
      <c r="H7" s="16"/>
      <c r="K7" s="21" t="s">
        <v>5</v>
      </c>
      <c r="L7" s="28">
        <v>420</v>
      </c>
      <c r="M7" s="23">
        <f>SUMIF(Table14681012[دسته بندی],Table25791113[[#This Row],[دسته بندی]],Table14681012[مقدار به دقیقه])</f>
        <v>430.00000000000006</v>
      </c>
      <c r="N7" s="21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-10.000000000000057</v>
      </c>
    </row>
    <row r="8" spans="2:14" ht="20.25">
      <c r="B8" s="2">
        <v>2</v>
      </c>
      <c r="C8" s="1" t="s">
        <v>97</v>
      </c>
      <c r="D8" s="4">
        <v>0.25</v>
      </c>
      <c r="E8" s="4">
        <v>0.27083333333333331</v>
      </c>
      <c r="F8" s="5">
        <f t="shared" si="0"/>
        <v>29.999999999999972</v>
      </c>
      <c r="G8" s="1" t="s">
        <v>6</v>
      </c>
      <c r="H8" s="1"/>
      <c r="K8" s="7" t="s">
        <v>6</v>
      </c>
      <c r="L8" s="29">
        <v>180</v>
      </c>
      <c r="M8" s="6">
        <f>SUMIF(Table14681012[دسته بندی],Table25791113[[#This Row],[دسته بندی]],Table14681012[مقدار به دقیقه])</f>
        <v>205</v>
      </c>
      <c r="N8" s="7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-25</v>
      </c>
    </row>
    <row r="9" spans="2:14" ht="20.25">
      <c r="B9" s="17">
        <v>3</v>
      </c>
      <c r="C9" s="16" t="s">
        <v>31</v>
      </c>
      <c r="D9" s="18">
        <v>0.27777777777777779</v>
      </c>
      <c r="E9" s="18">
        <v>0.33541666666666664</v>
      </c>
      <c r="F9" s="19">
        <f t="shared" si="0"/>
        <v>82.999999999999943</v>
      </c>
      <c r="G9" s="16" t="s">
        <v>9</v>
      </c>
      <c r="H9" s="16"/>
      <c r="K9" s="21" t="s">
        <v>7</v>
      </c>
      <c r="L9" s="28">
        <v>180</v>
      </c>
      <c r="M9" s="23">
        <f>SUMIF(Table14681012[دسته بندی],Table25791113[[#This Row],[دسته بندی]],Table14681012[مقدار به دقیقه])</f>
        <v>119.99999999999997</v>
      </c>
      <c r="N9" s="21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60.000000000000028</v>
      </c>
    </row>
    <row r="10" spans="2:14" ht="20.25">
      <c r="B10" s="2">
        <v>4</v>
      </c>
      <c r="C10" s="9" t="s">
        <v>98</v>
      </c>
      <c r="D10" s="4">
        <v>0.34027777777777779</v>
      </c>
      <c r="E10" s="4">
        <v>0.40972222222222221</v>
      </c>
      <c r="F10" s="5">
        <f t="shared" si="0"/>
        <v>99.999999999999972</v>
      </c>
      <c r="G10" s="1" t="s">
        <v>8</v>
      </c>
      <c r="H10" s="1" t="s">
        <v>91</v>
      </c>
      <c r="K10" s="7" t="s">
        <v>8</v>
      </c>
      <c r="L10" s="29">
        <v>240</v>
      </c>
      <c r="M10" s="6">
        <f>SUMIF(Table14681012[دسته بندی],Table25791113[[#This Row],[دسته بندی]],Table14681012[مقدار به دقیقه])</f>
        <v>265</v>
      </c>
      <c r="N10" s="7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-25</v>
      </c>
    </row>
    <row r="11" spans="2:14" ht="20.25">
      <c r="B11" s="17">
        <v>5</v>
      </c>
      <c r="C11" s="16" t="s">
        <v>99</v>
      </c>
      <c r="D11" s="18">
        <v>0.40972222222222221</v>
      </c>
      <c r="E11" s="18">
        <v>0.41666666666666669</v>
      </c>
      <c r="F11" s="19">
        <f t="shared" si="0"/>
        <v>10.000000000000044</v>
      </c>
      <c r="G11" s="16" t="s">
        <v>6</v>
      </c>
      <c r="H11" s="16"/>
      <c r="K11" s="21" t="s">
        <v>9</v>
      </c>
      <c r="L11" s="28">
        <v>180</v>
      </c>
      <c r="M11" s="23">
        <f>SUMIF(Table14681012[دسته بندی],Table25791113[[#This Row],[دسته بندی]],Table14681012[مقدار به دقیقه])</f>
        <v>188.00000000000006</v>
      </c>
      <c r="N11" s="21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-8.0000000000000568</v>
      </c>
    </row>
    <row r="12" spans="2:14" ht="20.25">
      <c r="B12" s="2">
        <v>6</v>
      </c>
      <c r="C12" s="1" t="s">
        <v>101</v>
      </c>
      <c r="D12" s="4">
        <v>0.41666666666666669</v>
      </c>
      <c r="E12" s="4">
        <v>0.4375</v>
      </c>
      <c r="F12" s="5">
        <f t="shared" si="0"/>
        <v>29.999999999999972</v>
      </c>
      <c r="G12" s="1" t="s">
        <v>7</v>
      </c>
      <c r="H12" s="1" t="s">
        <v>149</v>
      </c>
      <c r="K12" s="7" t="s">
        <v>10</v>
      </c>
      <c r="L12" s="29">
        <v>120</v>
      </c>
      <c r="M12" s="6">
        <f>SUMIF(Table14681012[دسته بندی],Table25791113[[#This Row],[دسته بندی]],Table14681012[مقدار به دقیقه])</f>
        <v>90</v>
      </c>
      <c r="N12" s="7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30</v>
      </c>
    </row>
    <row r="13" spans="2:14" ht="20.25">
      <c r="B13" s="17">
        <v>7</v>
      </c>
      <c r="C13" s="20" t="s">
        <v>98</v>
      </c>
      <c r="D13" s="18">
        <v>0.4375</v>
      </c>
      <c r="E13" s="18">
        <v>0.4826388888888889</v>
      </c>
      <c r="F13" s="19">
        <f t="shared" si="0"/>
        <v>65.000000000000014</v>
      </c>
      <c r="G13" s="16" t="s">
        <v>8</v>
      </c>
      <c r="H13" s="16" t="s">
        <v>91</v>
      </c>
      <c r="K13" s="21" t="s">
        <v>11</v>
      </c>
      <c r="L13" s="28">
        <v>180</v>
      </c>
      <c r="M13" s="23">
        <f>SUMIF(Table14681012[دسته بندی],Table25791113[[#This Row],[دسته بندی]],Table14681012[مقدار به دقیقه])</f>
        <v>0</v>
      </c>
      <c r="N13" s="21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0</v>
      </c>
    </row>
    <row r="14" spans="2:14" ht="20.25">
      <c r="B14" s="2">
        <v>8</v>
      </c>
      <c r="C14" s="1" t="s">
        <v>35</v>
      </c>
      <c r="D14" s="4">
        <v>0.4826388888888889</v>
      </c>
      <c r="E14" s="4">
        <v>0.51388888888888884</v>
      </c>
      <c r="F14" s="5">
        <f t="shared" si="0"/>
        <v>44.999999999999922</v>
      </c>
      <c r="G14" s="1" t="s">
        <v>6</v>
      </c>
      <c r="H14" s="1"/>
      <c r="K14" s="7" t="s">
        <v>12</v>
      </c>
      <c r="L14" s="29">
        <v>120</v>
      </c>
      <c r="M14" s="6">
        <f>SUMIF(Table14681012[دسته بندی],Table25791113[[#This Row],[دسته بندی]],Table14681012[مقدار به دقیقه])</f>
        <v>104.99999999999994</v>
      </c>
      <c r="N14" s="7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15.000000000000057</v>
      </c>
    </row>
    <row r="15" spans="2:14" ht="20.25">
      <c r="B15" s="17">
        <v>9</v>
      </c>
      <c r="C15" s="20" t="s">
        <v>34</v>
      </c>
      <c r="D15" s="18">
        <v>0.51388888888888884</v>
      </c>
      <c r="E15" s="18">
        <v>0.55555555555555558</v>
      </c>
      <c r="F15" s="19">
        <f t="shared" si="0"/>
        <v>60.000000000000107</v>
      </c>
      <c r="G15" s="16" t="s">
        <v>6</v>
      </c>
      <c r="H15" s="16" t="s">
        <v>100</v>
      </c>
      <c r="K15" s="21" t="s">
        <v>13</v>
      </c>
      <c r="L15" s="28">
        <v>0</v>
      </c>
      <c r="M15" s="23">
        <f>SUMIF(Table14681012[دسته بندی],Table25791113[[#This Row],[دسته بندی]],Table14681012[مقدار به دقیقه])</f>
        <v>0</v>
      </c>
      <c r="N15" s="21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0</v>
      </c>
    </row>
    <row r="16" spans="2:14" ht="20.25">
      <c r="B16" s="2">
        <v>10</v>
      </c>
      <c r="C16" s="1" t="s">
        <v>98</v>
      </c>
      <c r="D16" s="4">
        <v>0.55555555555555558</v>
      </c>
      <c r="E16" s="4">
        <v>0.625</v>
      </c>
      <c r="F16" s="5">
        <f t="shared" si="0"/>
        <v>99.999999999999972</v>
      </c>
      <c r="G16" s="1" t="s">
        <v>8</v>
      </c>
      <c r="H16" s="1" t="s">
        <v>91</v>
      </c>
      <c r="K16" s="7" t="s">
        <v>14</v>
      </c>
      <c r="L16" s="29">
        <v>30</v>
      </c>
      <c r="M16" s="6">
        <f>SUMIF(Table14681012[دسته بندی],Table25791113[[#This Row],[دسته بندی]],Table14681012[مقدار به دقیقه])</f>
        <v>0</v>
      </c>
      <c r="N16" s="7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0</v>
      </c>
    </row>
    <row r="17" spans="2:14" ht="20.25">
      <c r="B17" s="17">
        <v>11</v>
      </c>
      <c r="C17" s="16" t="s">
        <v>152</v>
      </c>
      <c r="D17" s="18">
        <v>0.625</v>
      </c>
      <c r="E17" s="18">
        <v>0.69791666666666663</v>
      </c>
      <c r="F17" s="19">
        <f t="shared" si="0"/>
        <v>104.99999999999994</v>
      </c>
      <c r="G17" s="16" t="s">
        <v>12</v>
      </c>
      <c r="H17" s="16" t="s">
        <v>153</v>
      </c>
      <c r="K17" s="21" t="s">
        <v>15</v>
      </c>
      <c r="L17" s="30"/>
      <c r="M17" s="23">
        <f>SUMIF(Table14681012[دسته بندی],Table25791113[[#This Row],[دسته بندی]],Table14681012[مقدار به دقیقه])</f>
        <v>0</v>
      </c>
      <c r="N17" s="21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0</v>
      </c>
    </row>
    <row r="18" spans="2:14" ht="20.25">
      <c r="B18" s="2">
        <v>12</v>
      </c>
      <c r="C18" s="9"/>
      <c r="D18" s="4"/>
      <c r="E18" s="4"/>
      <c r="F18" s="5"/>
      <c r="G18" s="1"/>
      <c r="H18" s="1"/>
      <c r="K18" s="7" t="s">
        <v>16</v>
      </c>
      <c r="L18" s="31"/>
      <c r="M18" s="6">
        <f>SUMIF(Table14681012[دسته بندی],Table25791113[[#This Row],[دسته بندی]],Table14681012[مقدار به دقیقه])</f>
        <v>0</v>
      </c>
      <c r="N18" s="7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0</v>
      </c>
    </row>
    <row r="19" spans="2:14" ht="20.25">
      <c r="B19" s="17">
        <v>13</v>
      </c>
      <c r="C19" s="20"/>
      <c r="D19" s="18"/>
      <c r="E19" s="18"/>
      <c r="F19" s="19" t="str">
        <f t="shared" si="0"/>
        <v/>
      </c>
      <c r="G19" s="16"/>
      <c r="H19" s="16"/>
      <c r="K19" s="21" t="s">
        <v>17</v>
      </c>
      <c r="L19" s="30"/>
      <c r="M19" s="23">
        <f>SUMIF(Table14681012[دسته بندی],Table25791113[[#This Row],[دسته بندی]],Table14681012[مقدار به دقیقه])</f>
        <v>0</v>
      </c>
      <c r="N19" s="21">
        <f>IF(OR(Table25791113[[#This Row],[فعالیت پیش بینی شده ]]=0,Table25791113[[#This Row],[مقدار فعالیت]]=0),0,IF(ABS(Table25791113[[#This Row],[فعالیت پیش بینی شده ]]-Table25791113[[#This Row],[مقدار فعالیت]])&lt;0.000001,0,Table25791113[[#This Row],[فعالیت پیش بینی شده ]]-Table25791113[[#This Row],[مقدار فعالیت]]))</f>
        <v>0</v>
      </c>
    </row>
    <row r="20" spans="2:14" ht="20.25">
      <c r="B20" s="2">
        <v>14</v>
      </c>
      <c r="C20" s="9" t="s">
        <v>102</v>
      </c>
      <c r="D20" s="4">
        <v>0.69791666666666663</v>
      </c>
      <c r="E20" s="4">
        <v>0.77083333333333337</v>
      </c>
      <c r="F20" s="5">
        <f t="shared" si="0"/>
        <v>105.00000000000011</v>
      </c>
      <c r="G20" s="1" t="s">
        <v>9</v>
      </c>
      <c r="H20" s="1"/>
    </row>
    <row r="21" spans="2:14" ht="20.25">
      <c r="B21" s="17">
        <v>15</v>
      </c>
      <c r="C21" s="20" t="s">
        <v>99</v>
      </c>
      <c r="D21" s="18">
        <v>0.77083333333333337</v>
      </c>
      <c r="E21" s="18">
        <v>0.79166666666666663</v>
      </c>
      <c r="F21" s="19">
        <f t="shared" si="0"/>
        <v>29.999999999999893</v>
      </c>
      <c r="G21" s="16" t="s">
        <v>6</v>
      </c>
      <c r="H21" s="16" t="s">
        <v>103</v>
      </c>
    </row>
    <row r="22" spans="2:14" ht="20.25">
      <c r="B22" s="2">
        <v>16</v>
      </c>
      <c r="C22" s="1" t="s">
        <v>10</v>
      </c>
      <c r="D22" s="4">
        <v>0.79166666666666663</v>
      </c>
      <c r="E22" s="4">
        <v>0.85416666666666663</v>
      </c>
      <c r="F22" s="5">
        <f t="shared" si="0"/>
        <v>90</v>
      </c>
      <c r="G22" s="1" t="s">
        <v>10</v>
      </c>
      <c r="H22" s="1" t="s">
        <v>104</v>
      </c>
    </row>
    <row r="23" spans="2:14" ht="20.25">
      <c r="B23" s="17">
        <v>17</v>
      </c>
      <c r="C23" s="16" t="s">
        <v>36</v>
      </c>
      <c r="D23" s="18">
        <v>0.85416666666666663</v>
      </c>
      <c r="E23" s="18">
        <v>0.875</v>
      </c>
      <c r="F23" s="19">
        <f t="shared" si="0"/>
        <v>30.000000000000053</v>
      </c>
      <c r="G23" s="16" t="s">
        <v>6</v>
      </c>
      <c r="H23" s="16"/>
    </row>
    <row r="24" spans="2:14" ht="20.25">
      <c r="B24" s="2">
        <v>18</v>
      </c>
      <c r="C24" s="1" t="s">
        <v>101</v>
      </c>
      <c r="D24" s="4">
        <v>0.875</v>
      </c>
      <c r="E24" s="4">
        <v>0.9375</v>
      </c>
      <c r="F24" s="5">
        <f t="shared" si="0"/>
        <v>90</v>
      </c>
      <c r="G24" s="1" t="s">
        <v>7</v>
      </c>
      <c r="H24" s="1" t="s">
        <v>150</v>
      </c>
    </row>
    <row r="25" spans="2:14" ht="20.25">
      <c r="B25" s="17">
        <v>19</v>
      </c>
      <c r="C25" s="16"/>
      <c r="D25" s="18"/>
      <c r="E25" s="18"/>
      <c r="F25" s="19" t="str">
        <f t="shared" si="0"/>
        <v/>
      </c>
      <c r="G25" s="16"/>
      <c r="H25" s="16"/>
    </row>
    <row r="26" spans="2:14" ht="20.25">
      <c r="B26" s="2">
        <v>20</v>
      </c>
      <c r="C26" s="1"/>
      <c r="D26" s="4"/>
      <c r="E26" s="4"/>
      <c r="F26" s="5" t="str">
        <f t="shared" si="0"/>
        <v/>
      </c>
      <c r="G26" s="1"/>
      <c r="H26" s="1"/>
    </row>
    <row r="27" spans="2:14" ht="20.25">
      <c r="B27" s="17">
        <v>21</v>
      </c>
      <c r="C27" s="16"/>
      <c r="D27" s="18"/>
      <c r="E27" s="18"/>
      <c r="F27" s="19" t="str">
        <f t="shared" si="0"/>
        <v/>
      </c>
      <c r="G27" s="16"/>
      <c r="H27" s="16"/>
    </row>
    <row r="28" spans="2:14" ht="20.25">
      <c r="B28" s="2">
        <v>22</v>
      </c>
      <c r="C28" s="1"/>
      <c r="D28" s="4"/>
      <c r="E28" s="4"/>
      <c r="F28" s="5" t="str">
        <f t="shared" si="0"/>
        <v/>
      </c>
      <c r="G28" s="1"/>
      <c r="H28" s="1"/>
    </row>
    <row r="29" spans="2:14" ht="20.25">
      <c r="B29" s="17">
        <v>23</v>
      </c>
      <c r="C29" s="16"/>
      <c r="D29" s="18"/>
      <c r="E29" s="18"/>
      <c r="F29" s="19" t="str">
        <f t="shared" si="0"/>
        <v/>
      </c>
      <c r="G29" s="16"/>
      <c r="H29" s="16"/>
    </row>
    <row r="30" spans="2:14" ht="20.25">
      <c r="B30" s="2">
        <v>24</v>
      </c>
      <c r="C30" s="1"/>
      <c r="D30" s="4"/>
      <c r="E30" s="4"/>
      <c r="F30" s="5" t="str">
        <f t="shared" si="0"/>
        <v/>
      </c>
      <c r="G30" s="1"/>
      <c r="H30" s="1"/>
    </row>
    <row r="31" spans="2:14" ht="20.25">
      <c r="B31" s="17">
        <v>25</v>
      </c>
      <c r="C31" s="16"/>
      <c r="D31" s="18"/>
      <c r="E31" s="18"/>
      <c r="F31" s="19" t="str">
        <f t="shared" si="0"/>
        <v/>
      </c>
      <c r="G31" s="16"/>
      <c r="H31" s="16"/>
    </row>
    <row r="32" spans="2:14" ht="20.25">
      <c r="B32" s="2">
        <v>26</v>
      </c>
      <c r="C32" s="1"/>
      <c r="D32" s="4"/>
      <c r="E32" s="4"/>
      <c r="F32" s="5" t="str">
        <f t="shared" si="0"/>
        <v/>
      </c>
      <c r="G32" s="1"/>
      <c r="H32" s="1"/>
    </row>
    <row r="33" spans="2:8" ht="20.25">
      <c r="B33" s="17">
        <v>27</v>
      </c>
      <c r="C33" s="16"/>
      <c r="D33" s="18"/>
      <c r="E33" s="18"/>
      <c r="F33" s="19" t="str">
        <f t="shared" si="0"/>
        <v/>
      </c>
      <c r="G33" s="16"/>
      <c r="H33" s="16"/>
    </row>
    <row r="34" spans="2:8" ht="20.25">
      <c r="B34" s="2">
        <v>28</v>
      </c>
      <c r="C34" s="1"/>
      <c r="D34" s="4"/>
      <c r="E34" s="4"/>
      <c r="F34" s="5" t="str">
        <f t="shared" si="0"/>
        <v/>
      </c>
      <c r="G34" s="1"/>
      <c r="H34" s="1"/>
    </row>
    <row r="35" spans="2:8" ht="20.25">
      <c r="B35" s="17">
        <v>29</v>
      </c>
      <c r="C35" s="16"/>
      <c r="D35" s="18"/>
      <c r="E35" s="18"/>
      <c r="F35" s="19" t="str">
        <f t="shared" si="0"/>
        <v/>
      </c>
      <c r="G35" s="16"/>
      <c r="H35" s="16"/>
    </row>
    <row r="36" spans="2:8" ht="20.25">
      <c r="B36" s="2">
        <v>30</v>
      </c>
      <c r="C36" s="1"/>
      <c r="D36" s="4"/>
      <c r="E36" s="4"/>
      <c r="F36" s="5" t="str">
        <f t="shared" si="0"/>
        <v/>
      </c>
      <c r="G36" s="1"/>
      <c r="H36" s="1"/>
    </row>
  </sheetData>
  <mergeCells count="2">
    <mergeCell ref="B5:D5"/>
    <mergeCell ref="E5:H5"/>
  </mergeCells>
  <conditionalFormatting sqref="N7:N19">
    <cfRule type="cellIs" dxfId="21" priority="1" operator="equal">
      <formula>0</formula>
    </cfRule>
    <cfRule type="cellIs" dxfId="20" priority="2" operator="lessThan">
      <formula>0</formula>
    </cfRule>
    <cfRule type="cellIs" dxfId="19" priority="3" operator="greaterThan">
      <formula>0</formula>
    </cfRule>
  </conditionalFormatting>
  <dataValidations count="1">
    <dataValidation type="list" allowBlank="1" showInputMessage="1" showErrorMessage="1" sqref="G7:G36" xr:uid="{FDCEBB53-99E6-4DF9-9233-60A059FC4B05}">
      <formula1>$K$7:$K$19</formula1>
    </dataValidation>
  </dataValidations>
  <pageMargins left="0.7" right="0.7" top="0.75" bottom="0.75" header="0.3" footer="0.3"/>
  <drawing r:id="rId1"/>
  <picture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1-85F6-4D85-8C93-4ADB7F0E69F6}">
  <dimension ref="B5:N36"/>
  <sheetViews>
    <sheetView showGridLines="0" rightToLeft="1" zoomScale="80" zoomScaleNormal="80" workbookViewId="0">
      <selection activeCell="L7" sqref="L7:L20"/>
    </sheetView>
  </sheetViews>
  <sheetFormatPr defaultRowHeight="15"/>
  <cols>
    <col min="3" max="3" width="23.5703125" customWidth="1"/>
    <col min="4" max="4" width="16.5703125" customWidth="1"/>
    <col min="5" max="5" width="17.5703125" customWidth="1"/>
    <col min="6" max="6" width="17.28515625" customWidth="1"/>
    <col min="7" max="7" width="19.5703125" customWidth="1"/>
    <col min="8" max="8" width="39.5703125" customWidth="1"/>
    <col min="11" max="11" width="19.28515625" customWidth="1"/>
    <col min="12" max="12" width="25" customWidth="1"/>
    <col min="13" max="13" width="28.42578125" customWidth="1"/>
    <col min="14" max="14" width="17.42578125" customWidth="1"/>
  </cols>
  <sheetData>
    <row r="5" spans="2:14" ht="20.25">
      <c r="B5" s="34" t="s">
        <v>39</v>
      </c>
      <c r="C5" s="34"/>
      <c r="D5" s="34"/>
      <c r="E5" s="34" t="s">
        <v>106</v>
      </c>
      <c r="F5" s="34"/>
      <c r="G5" s="34"/>
      <c r="H5" s="34"/>
    </row>
    <row r="6" spans="2:14" ht="20.25">
      <c r="B6" s="12" t="s">
        <v>21</v>
      </c>
      <c r="C6" s="12" t="s">
        <v>0</v>
      </c>
      <c r="D6" s="12" t="s">
        <v>1</v>
      </c>
      <c r="E6" s="12" t="s">
        <v>2</v>
      </c>
      <c r="F6" s="12" t="s">
        <v>22</v>
      </c>
      <c r="G6" s="12" t="s">
        <v>3</v>
      </c>
      <c r="H6" s="12" t="s">
        <v>4</v>
      </c>
      <c r="I6" s="14"/>
      <c r="J6" s="14"/>
      <c r="K6" s="13" t="s">
        <v>3</v>
      </c>
      <c r="L6" s="13" t="s">
        <v>18</v>
      </c>
      <c r="M6" s="13" t="s">
        <v>19</v>
      </c>
      <c r="N6" s="13" t="s">
        <v>20</v>
      </c>
    </row>
    <row r="7" spans="2:14" ht="20.25">
      <c r="B7" s="17">
        <v>1</v>
      </c>
      <c r="C7" s="16" t="s">
        <v>5</v>
      </c>
      <c r="D7" s="18">
        <v>0.9375</v>
      </c>
      <c r="E7" s="18">
        <v>0.22916666666666666</v>
      </c>
      <c r="F7" s="19">
        <f t="shared" ref="F7:F36" si="0">IF(OR(D7="",E7=""),"",IF(E7&gt;=D7,(E7-D7)*24*60,(E7-D7+1)*24*60))</f>
        <v>419.99999999999994</v>
      </c>
      <c r="G7" s="16" t="s">
        <v>5</v>
      </c>
      <c r="H7" s="16"/>
      <c r="K7" s="21" t="s">
        <v>5</v>
      </c>
      <c r="L7" s="13">
        <v>420</v>
      </c>
      <c r="M7" s="23">
        <f>SUMIF(Table146810[دسته بندی],Table257911[[#This Row],[دسته بندی]],Table146810[مقدار به دقیقه])</f>
        <v>419.99999999999994</v>
      </c>
      <c r="N7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8" spans="2:14" ht="20.25">
      <c r="B8" s="2">
        <v>2</v>
      </c>
      <c r="C8" s="1" t="s">
        <v>107</v>
      </c>
      <c r="D8" s="4">
        <v>0.22916666666666666</v>
      </c>
      <c r="E8" s="4">
        <v>0.25</v>
      </c>
      <c r="F8" s="5">
        <f t="shared" si="0"/>
        <v>30.000000000000014</v>
      </c>
      <c r="G8" s="1" t="s">
        <v>11</v>
      </c>
      <c r="H8" s="1" t="s">
        <v>108</v>
      </c>
      <c r="K8" s="7" t="s">
        <v>6</v>
      </c>
      <c r="L8" s="28">
        <v>180</v>
      </c>
      <c r="M8" s="6">
        <f>SUMIF(Table146810[دسته بندی],Table257911[[#This Row],[دسته بندی]],Table146810[مقدار به دقیقه])</f>
        <v>234.99999999999989</v>
      </c>
      <c r="N8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-54.999999999999886</v>
      </c>
    </row>
    <row r="9" spans="2:14" ht="20.25">
      <c r="B9" s="17">
        <v>3</v>
      </c>
      <c r="C9" s="16" t="s">
        <v>109</v>
      </c>
      <c r="D9" s="18">
        <v>0.25</v>
      </c>
      <c r="E9" s="18">
        <v>0.27083333333333331</v>
      </c>
      <c r="F9" s="19">
        <f t="shared" si="0"/>
        <v>29.999999999999972</v>
      </c>
      <c r="G9" s="16" t="s">
        <v>6</v>
      </c>
      <c r="H9" s="16"/>
      <c r="K9" s="21" t="s">
        <v>7</v>
      </c>
      <c r="L9" s="29">
        <v>180</v>
      </c>
      <c r="M9" s="23">
        <f>SUMIF(Table146810[دسته بندی],Table257911[[#This Row],[دسته بندی]],Table146810[مقدار به دقیقه])</f>
        <v>104.99999999999994</v>
      </c>
      <c r="N9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75.000000000000057</v>
      </c>
    </row>
    <row r="10" spans="2:14" ht="20.25">
      <c r="B10" s="2">
        <v>4</v>
      </c>
      <c r="C10" s="1" t="s">
        <v>110</v>
      </c>
      <c r="D10" s="4">
        <v>0.27777777777777779</v>
      </c>
      <c r="E10" s="4">
        <v>0.33680555555555558</v>
      </c>
      <c r="F10" s="5">
        <f t="shared" si="0"/>
        <v>85.000000000000014</v>
      </c>
      <c r="G10" s="1" t="s">
        <v>9</v>
      </c>
      <c r="H10" s="1"/>
      <c r="K10" s="7" t="s">
        <v>8</v>
      </c>
      <c r="L10" s="28">
        <v>300</v>
      </c>
      <c r="M10" s="6">
        <f>SUMIF(Table146810[دسته بندی],Table257911[[#This Row],[دسته بندی]],Table146810[مقدار به دقیقه])</f>
        <v>310.00000000000011</v>
      </c>
      <c r="N10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-10.000000000000114</v>
      </c>
    </row>
    <row r="11" spans="2:14" ht="20.25">
      <c r="B11" s="17">
        <v>5</v>
      </c>
      <c r="C11" s="16" t="s">
        <v>111</v>
      </c>
      <c r="D11" s="18">
        <v>0.33680555555555558</v>
      </c>
      <c r="E11" s="18">
        <v>0.41666666666666669</v>
      </c>
      <c r="F11" s="19">
        <f t="shared" si="0"/>
        <v>114.99999999999999</v>
      </c>
      <c r="G11" s="16" t="s">
        <v>8</v>
      </c>
      <c r="H11" s="16" t="s">
        <v>91</v>
      </c>
      <c r="K11" s="21" t="s">
        <v>9</v>
      </c>
      <c r="L11" s="29">
        <v>240</v>
      </c>
      <c r="M11" s="23">
        <f>SUMIF(Table146810[دسته بندی],Table257911[[#This Row],[دسته بندی]],Table146810[مقدار به دقیقه])</f>
        <v>175</v>
      </c>
      <c r="N11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65</v>
      </c>
    </row>
    <row r="12" spans="2:14" ht="20.25">
      <c r="B12" s="2">
        <v>6</v>
      </c>
      <c r="C12" s="1" t="s">
        <v>112</v>
      </c>
      <c r="D12" s="4">
        <v>0.41666666666666669</v>
      </c>
      <c r="E12" s="4">
        <v>0.42708333333333331</v>
      </c>
      <c r="F12" s="5">
        <f t="shared" si="0"/>
        <v>14.999999999999947</v>
      </c>
      <c r="G12" s="1" t="s">
        <v>6</v>
      </c>
      <c r="H12" s="1"/>
      <c r="K12" s="7" t="s">
        <v>10</v>
      </c>
      <c r="L12" s="28">
        <v>180</v>
      </c>
      <c r="M12" s="6">
        <f>SUMIF(Table146810[دسته بندی],Table257911[[#This Row],[دسته بندی]],Table146810[مقدار به دقیقه])</f>
        <v>80.000000000000028</v>
      </c>
      <c r="N12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99.999999999999972</v>
      </c>
    </row>
    <row r="13" spans="2:14" ht="20.25">
      <c r="B13" s="17">
        <v>7</v>
      </c>
      <c r="C13" s="16" t="s">
        <v>113</v>
      </c>
      <c r="D13" s="18">
        <v>0.42708333333333331</v>
      </c>
      <c r="E13" s="18">
        <v>0.47916666666666669</v>
      </c>
      <c r="F13" s="19">
        <f t="shared" si="0"/>
        <v>75.000000000000057</v>
      </c>
      <c r="G13" s="16" t="s">
        <v>7</v>
      </c>
      <c r="H13" s="16" t="s">
        <v>114</v>
      </c>
      <c r="K13" s="21" t="s">
        <v>11</v>
      </c>
      <c r="L13" s="29">
        <v>120</v>
      </c>
      <c r="M13" s="23">
        <f>SUMIF(Table146810[دسته بندی],Table257911[[#This Row],[دسته بندی]],Table146810[مقدار به دقیقه])</f>
        <v>119.99999999999994</v>
      </c>
      <c r="N13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14" spans="2:14" ht="20.25">
      <c r="B14" s="2">
        <v>8</v>
      </c>
      <c r="C14" s="1" t="s">
        <v>35</v>
      </c>
      <c r="D14" s="4">
        <v>0.47916666666666669</v>
      </c>
      <c r="E14" s="4">
        <v>0.5</v>
      </c>
      <c r="F14" s="5">
        <f t="shared" si="0"/>
        <v>29.999999999999972</v>
      </c>
      <c r="G14" s="1" t="s">
        <v>11</v>
      </c>
      <c r="H14" s="1"/>
      <c r="K14" s="7" t="s">
        <v>12</v>
      </c>
      <c r="L14" s="28">
        <v>180</v>
      </c>
      <c r="M14" s="6">
        <f>SUMIF(Table146810[دسته بندی],Table257911[[#This Row],[دسته بندی]],Table146810[مقدار به دقیقه])</f>
        <v>0</v>
      </c>
      <c r="N14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15" spans="2:14" ht="20.25">
      <c r="B15" s="17">
        <v>9</v>
      </c>
      <c r="C15" s="16" t="s">
        <v>115</v>
      </c>
      <c r="D15" s="18">
        <v>0.5</v>
      </c>
      <c r="E15" s="18">
        <v>0.54166666666666663</v>
      </c>
      <c r="F15" s="19">
        <f t="shared" si="0"/>
        <v>59.999999999999943</v>
      </c>
      <c r="G15" s="16" t="s">
        <v>6</v>
      </c>
      <c r="H15" s="16" t="s">
        <v>116</v>
      </c>
      <c r="K15" s="21" t="s">
        <v>13</v>
      </c>
      <c r="L15" s="29">
        <v>0</v>
      </c>
      <c r="M15" s="23">
        <f>SUMIF(Table146810[دسته بندی],Table257911[[#This Row],[دسته بندی]],Table146810[مقدار به دقیقه])</f>
        <v>0</v>
      </c>
      <c r="N15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16" spans="2:14" ht="20.25">
      <c r="B16" s="2">
        <v>10</v>
      </c>
      <c r="C16" s="1" t="s">
        <v>111</v>
      </c>
      <c r="D16" s="4">
        <v>0.54166666666666663</v>
      </c>
      <c r="E16" s="4">
        <v>0.64583333333333337</v>
      </c>
      <c r="F16" s="5">
        <f t="shared" si="0"/>
        <v>150.00000000000011</v>
      </c>
      <c r="G16" s="1" t="s">
        <v>8</v>
      </c>
      <c r="H16" s="1" t="s">
        <v>91</v>
      </c>
      <c r="K16" s="7" t="s">
        <v>14</v>
      </c>
      <c r="L16" s="28">
        <v>30</v>
      </c>
      <c r="M16" s="6">
        <f>SUMIF(Table146810[دسته بندی],Table257911[[#This Row],[دسته بندی]],Table146810[مقدار به دقیقه])</f>
        <v>0</v>
      </c>
      <c r="N16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17" spans="2:14" ht="20.25">
      <c r="B17" s="17">
        <v>11</v>
      </c>
      <c r="C17" s="16" t="s">
        <v>112</v>
      </c>
      <c r="D17" s="18">
        <v>0.625</v>
      </c>
      <c r="E17" s="18">
        <v>0.64583333333333337</v>
      </c>
      <c r="F17" s="19">
        <f t="shared" si="0"/>
        <v>30.000000000000053</v>
      </c>
      <c r="G17" s="16" t="s">
        <v>11</v>
      </c>
      <c r="H17" s="16"/>
      <c r="K17" s="21" t="s">
        <v>15</v>
      </c>
      <c r="L17" s="29">
        <v>0</v>
      </c>
      <c r="M17" s="23">
        <f>SUMIF(Table146810[دسته بندی],Table257911[[#This Row],[دسته بندی]],Table146810[مقدار به دقیقه])</f>
        <v>0</v>
      </c>
      <c r="N17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18" spans="2:14" ht="20.25">
      <c r="B18" s="2">
        <v>12</v>
      </c>
      <c r="C18" s="1" t="s">
        <v>113</v>
      </c>
      <c r="D18" s="4">
        <v>0.64583333333333337</v>
      </c>
      <c r="E18" s="4">
        <v>0.66666666666666663</v>
      </c>
      <c r="F18" s="5">
        <f t="shared" si="0"/>
        <v>29.999999999999893</v>
      </c>
      <c r="G18" s="1" t="s">
        <v>7</v>
      </c>
      <c r="H18" s="1" t="s">
        <v>117</v>
      </c>
      <c r="K18" s="7" t="s">
        <v>16</v>
      </c>
      <c r="L18" s="30"/>
      <c r="M18" s="6">
        <f>SUMIF(Table146810[دسته بندی],Table257911[[#This Row],[دسته بندی]],Table146810[مقدار به دقیقه])</f>
        <v>0</v>
      </c>
      <c r="N18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19" spans="2:14" ht="20.25">
      <c r="B19" s="17">
        <v>13</v>
      </c>
      <c r="C19" s="16" t="s">
        <v>111</v>
      </c>
      <c r="D19" s="18">
        <v>0.66666666666666663</v>
      </c>
      <c r="E19" s="18">
        <v>0.69791666666666663</v>
      </c>
      <c r="F19" s="19">
        <f t="shared" si="0"/>
        <v>45</v>
      </c>
      <c r="G19" s="16" t="s">
        <v>8</v>
      </c>
      <c r="H19" s="16" t="s">
        <v>91</v>
      </c>
      <c r="K19" s="21" t="s">
        <v>17</v>
      </c>
      <c r="L19" s="31"/>
      <c r="M19" s="23">
        <f>SUMIF(Table146810[دسته بندی],Table257911[[#This Row],[دسته بندی]],Table146810[مقدار به دقیقه])</f>
        <v>0</v>
      </c>
      <c r="N19" s="7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20" spans="2:14" ht="20.25">
      <c r="B20" s="2">
        <v>14</v>
      </c>
      <c r="C20" s="1" t="s">
        <v>102</v>
      </c>
      <c r="D20" s="4">
        <v>0.70138888888888884</v>
      </c>
      <c r="E20" s="4">
        <v>0.76388888888888884</v>
      </c>
      <c r="F20" s="5">
        <f t="shared" si="0"/>
        <v>90</v>
      </c>
      <c r="G20" s="1" t="s">
        <v>9</v>
      </c>
      <c r="H20" s="1"/>
      <c r="K20" s="32"/>
      <c r="L20" s="30"/>
      <c r="M20" s="33">
        <f>SUMIF(Table146810[دسته بندی],Table257911[[#This Row],[دسته بندی]],Table146810[مقدار به دقیقه])</f>
        <v>0</v>
      </c>
      <c r="N20" s="32">
        <f>IF(OR(Table257911[[#This Row],[فعالیت پیش بینی شده ]]=0,Table257911[[#This Row],[مقدار فعالیت]]=0),0,IF(ABS(Table257911[[#This Row],[فعالیت پیش بینی شده ]]-Table257911[[#This Row],[مقدار فعالیت]])&lt;0.000001,0,Table257911[[#This Row],[فعالیت پیش بینی شده ]]-Table257911[[#This Row],[مقدار فعالیت]]))</f>
        <v>0</v>
      </c>
    </row>
    <row r="21" spans="2:14" ht="20.25">
      <c r="B21" s="17">
        <v>15</v>
      </c>
      <c r="C21" s="16" t="s">
        <v>112</v>
      </c>
      <c r="D21" s="18">
        <v>0.77083333333333337</v>
      </c>
      <c r="E21" s="18">
        <v>0.79166666666666663</v>
      </c>
      <c r="F21" s="19">
        <f t="shared" si="0"/>
        <v>29.999999999999893</v>
      </c>
      <c r="G21" s="16" t="s">
        <v>11</v>
      </c>
      <c r="H21" s="16" t="s">
        <v>118</v>
      </c>
    </row>
    <row r="22" spans="2:14" ht="20.25">
      <c r="B22" s="2">
        <v>16</v>
      </c>
      <c r="C22" s="1" t="s">
        <v>119</v>
      </c>
      <c r="D22" s="4">
        <v>0.79166666666666663</v>
      </c>
      <c r="E22" s="4">
        <v>0.84722222222222221</v>
      </c>
      <c r="F22" s="5">
        <f t="shared" si="0"/>
        <v>80.000000000000028</v>
      </c>
      <c r="G22" s="1" t="s">
        <v>10</v>
      </c>
      <c r="H22" s="1" t="s">
        <v>120</v>
      </c>
    </row>
    <row r="23" spans="2:14" ht="20.25">
      <c r="B23" s="17">
        <v>17</v>
      </c>
      <c r="C23" s="16" t="s">
        <v>36</v>
      </c>
      <c r="D23" s="18">
        <v>0.84722222222222221</v>
      </c>
      <c r="E23" s="18">
        <v>0.875</v>
      </c>
      <c r="F23" s="19">
        <f t="shared" si="0"/>
        <v>40.000000000000014</v>
      </c>
      <c r="G23" s="16" t="s">
        <v>6</v>
      </c>
      <c r="H23" s="16"/>
    </row>
    <row r="24" spans="2:14" ht="20.25">
      <c r="B24" s="2">
        <v>18</v>
      </c>
      <c r="C24" s="1" t="s">
        <v>121</v>
      </c>
      <c r="D24" s="4">
        <v>0.875</v>
      </c>
      <c r="E24" s="4">
        <v>0.9375</v>
      </c>
      <c r="F24" s="5">
        <f t="shared" si="0"/>
        <v>90</v>
      </c>
      <c r="G24" s="1" t="s">
        <v>6</v>
      </c>
      <c r="H24" s="1"/>
    </row>
    <row r="25" spans="2:14" ht="20.25">
      <c r="B25" s="17">
        <v>19</v>
      </c>
      <c r="C25" s="16"/>
      <c r="D25" s="18"/>
      <c r="E25" s="18"/>
      <c r="F25" s="19" t="str">
        <f t="shared" si="0"/>
        <v/>
      </c>
      <c r="G25" s="16"/>
      <c r="H25" s="16"/>
    </row>
    <row r="26" spans="2:14" ht="20.25">
      <c r="B26" s="2">
        <v>20</v>
      </c>
      <c r="C26" s="1"/>
      <c r="D26" s="4"/>
      <c r="E26" s="4"/>
      <c r="F26" s="5" t="str">
        <f t="shared" si="0"/>
        <v/>
      </c>
      <c r="G26" s="1"/>
      <c r="H26" s="1"/>
    </row>
    <row r="27" spans="2:14" ht="20.25">
      <c r="B27" s="17">
        <v>21</v>
      </c>
      <c r="C27" s="16"/>
      <c r="D27" s="18"/>
      <c r="E27" s="18"/>
      <c r="F27" s="19" t="str">
        <f t="shared" si="0"/>
        <v/>
      </c>
      <c r="G27" s="16"/>
      <c r="H27" s="16"/>
    </row>
    <row r="28" spans="2:14" ht="20.25">
      <c r="B28" s="2">
        <v>22</v>
      </c>
      <c r="C28" s="1"/>
      <c r="D28" s="4"/>
      <c r="E28" s="4"/>
      <c r="F28" s="5" t="str">
        <f t="shared" si="0"/>
        <v/>
      </c>
      <c r="G28" s="1"/>
      <c r="H28" s="1"/>
    </row>
    <row r="29" spans="2:14" ht="20.25">
      <c r="B29" s="17">
        <v>23</v>
      </c>
      <c r="C29" s="16"/>
      <c r="D29" s="18"/>
      <c r="E29" s="18"/>
      <c r="F29" s="19" t="str">
        <f t="shared" si="0"/>
        <v/>
      </c>
      <c r="G29" s="16"/>
      <c r="H29" s="16"/>
    </row>
    <row r="30" spans="2:14" ht="20.25">
      <c r="B30" s="2">
        <v>24</v>
      </c>
      <c r="C30" s="1"/>
      <c r="D30" s="4"/>
      <c r="E30" s="4"/>
      <c r="F30" s="5" t="str">
        <f t="shared" si="0"/>
        <v/>
      </c>
      <c r="G30" s="1"/>
      <c r="H30" s="1"/>
    </row>
    <row r="31" spans="2:14" ht="20.25">
      <c r="B31" s="17">
        <v>25</v>
      </c>
      <c r="C31" s="16"/>
      <c r="D31" s="18"/>
      <c r="E31" s="18"/>
      <c r="F31" s="19" t="str">
        <f t="shared" si="0"/>
        <v/>
      </c>
      <c r="G31" s="16"/>
      <c r="H31" s="16"/>
    </row>
    <row r="32" spans="2:14" ht="20.25">
      <c r="B32" s="2">
        <v>26</v>
      </c>
      <c r="C32" s="1"/>
      <c r="D32" s="4"/>
      <c r="E32" s="4"/>
      <c r="F32" s="5" t="str">
        <f t="shared" si="0"/>
        <v/>
      </c>
      <c r="G32" s="1"/>
      <c r="H32" s="1"/>
    </row>
    <row r="33" spans="2:8" ht="20.25">
      <c r="B33" s="17">
        <v>27</v>
      </c>
      <c r="C33" s="16"/>
      <c r="D33" s="18"/>
      <c r="E33" s="18"/>
      <c r="F33" s="19" t="str">
        <f t="shared" si="0"/>
        <v/>
      </c>
      <c r="G33" s="16"/>
      <c r="H33" s="16"/>
    </row>
    <row r="34" spans="2:8" ht="20.25">
      <c r="B34" s="2">
        <v>28</v>
      </c>
      <c r="C34" s="1"/>
      <c r="D34" s="4"/>
      <c r="E34" s="4"/>
      <c r="F34" s="5" t="str">
        <f t="shared" si="0"/>
        <v/>
      </c>
      <c r="G34" s="1"/>
      <c r="H34" s="1"/>
    </row>
    <row r="35" spans="2:8" ht="20.25">
      <c r="B35" s="17">
        <v>29</v>
      </c>
      <c r="C35" s="16"/>
      <c r="D35" s="18"/>
      <c r="E35" s="18"/>
      <c r="F35" s="19" t="str">
        <f t="shared" si="0"/>
        <v/>
      </c>
      <c r="G35" s="16"/>
      <c r="H35" s="16"/>
    </row>
    <row r="36" spans="2:8" ht="20.25">
      <c r="B36" s="2">
        <v>30</v>
      </c>
      <c r="C36" s="1"/>
      <c r="D36" s="4"/>
      <c r="E36" s="4"/>
      <c r="F36" s="5" t="str">
        <f t="shared" si="0"/>
        <v/>
      </c>
      <c r="G36" s="1"/>
      <c r="H36" s="1"/>
    </row>
  </sheetData>
  <mergeCells count="2">
    <mergeCell ref="B5:D5"/>
    <mergeCell ref="E5:H5"/>
  </mergeCells>
  <conditionalFormatting sqref="N7:N20">
    <cfRule type="cellIs" dxfId="18" priority="1" operator="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dataValidations count="1">
    <dataValidation type="list" allowBlank="1" showInputMessage="1" showErrorMessage="1" sqref="G7:G36" xr:uid="{91D135E1-0E7B-42E7-A12D-9B8D5AEE37BE}">
      <formula1>$K$7:$K$20</formula1>
    </dataValidation>
  </dataValidations>
  <pageMargins left="0.7" right="0.7" top="0.75" bottom="0.75" header="0.3" footer="0.3"/>
  <drawing r:id="rId1"/>
  <picture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49A3-E018-4D8F-BD21-C61B12E0BF27}">
  <dimension ref="B5:N36"/>
  <sheetViews>
    <sheetView showGridLines="0" rightToLeft="1" topLeftCell="A4" zoomScale="80" zoomScaleNormal="80" workbookViewId="0">
      <selection activeCell="L7" sqref="L7:L19"/>
    </sheetView>
  </sheetViews>
  <sheetFormatPr defaultRowHeight="15"/>
  <cols>
    <col min="3" max="3" width="23.5703125" customWidth="1"/>
    <col min="4" max="4" width="16.5703125" customWidth="1"/>
    <col min="5" max="5" width="17.5703125" customWidth="1"/>
    <col min="6" max="6" width="17.28515625" customWidth="1"/>
    <col min="7" max="7" width="19.5703125" customWidth="1"/>
    <col min="8" max="8" width="39.5703125" customWidth="1"/>
    <col min="11" max="11" width="19.28515625" customWidth="1"/>
    <col min="12" max="12" width="25" customWidth="1"/>
    <col min="13" max="13" width="28.42578125" customWidth="1"/>
    <col min="14" max="14" width="17.42578125" customWidth="1"/>
  </cols>
  <sheetData>
    <row r="5" spans="2:14" ht="20.25">
      <c r="B5" s="34" t="s">
        <v>40</v>
      </c>
      <c r="C5" s="34"/>
      <c r="D5" s="34"/>
      <c r="E5" s="34" t="s">
        <v>122</v>
      </c>
      <c r="F5" s="34"/>
      <c r="G5" s="34"/>
      <c r="H5" s="34"/>
    </row>
    <row r="6" spans="2:14" ht="20.25">
      <c r="B6" s="12" t="s">
        <v>21</v>
      </c>
      <c r="C6" s="12" t="s">
        <v>0</v>
      </c>
      <c r="D6" s="12" t="s">
        <v>1</v>
      </c>
      <c r="E6" s="12" t="s">
        <v>2</v>
      </c>
      <c r="F6" s="12" t="s">
        <v>22</v>
      </c>
      <c r="G6" s="12" t="s">
        <v>3</v>
      </c>
      <c r="H6" s="12" t="s">
        <v>4</v>
      </c>
      <c r="I6" s="14"/>
      <c r="J6" s="14"/>
      <c r="K6" s="13" t="s">
        <v>3</v>
      </c>
      <c r="L6" s="13" t="s">
        <v>18</v>
      </c>
      <c r="M6" s="13" t="s">
        <v>19</v>
      </c>
      <c r="N6" s="13" t="s">
        <v>20</v>
      </c>
    </row>
    <row r="7" spans="2:14" ht="20.25">
      <c r="B7" s="17">
        <v>1</v>
      </c>
      <c r="C7" s="16" t="s">
        <v>5</v>
      </c>
      <c r="D7" s="18">
        <v>0.9375</v>
      </c>
      <c r="E7" s="18">
        <v>0.2361111111111111</v>
      </c>
      <c r="F7" s="19">
        <f t="shared" ref="F7:F36" si="0">IF(OR(D7="",E7=""),"",IF(E7&gt;=D7,(E7-D7)*24*60,(E7-D7+1)*24*60))</f>
        <v>430.00000000000006</v>
      </c>
      <c r="G7" s="16" t="s">
        <v>5</v>
      </c>
      <c r="H7" s="16"/>
      <c r="K7" s="21" t="s">
        <v>5</v>
      </c>
      <c r="L7" s="22">
        <v>420</v>
      </c>
      <c r="M7" s="23">
        <f>SUMIF(Table1468[دسته بندی],Table2579[[#This Row],[دسته بندی]],Table1468[مقدار به دقیقه])</f>
        <v>430.00000000000006</v>
      </c>
      <c r="N7" s="21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-10.000000000000057</v>
      </c>
    </row>
    <row r="8" spans="2:14" ht="20.25">
      <c r="B8" s="2">
        <v>2</v>
      </c>
      <c r="C8" s="1" t="s">
        <v>11</v>
      </c>
      <c r="D8" s="4">
        <v>0.2361111111111111</v>
      </c>
      <c r="E8" s="4">
        <v>0.25694444444444442</v>
      </c>
      <c r="F8" s="5">
        <f t="shared" si="0"/>
        <v>29.999999999999972</v>
      </c>
      <c r="G8" s="1" t="s">
        <v>6</v>
      </c>
      <c r="H8" s="1" t="s">
        <v>123</v>
      </c>
      <c r="K8" s="7" t="s">
        <v>6</v>
      </c>
      <c r="L8" s="7">
        <v>240</v>
      </c>
      <c r="M8" s="6">
        <f>SUMIF(Table1468[دسته بندی],Table2579[[#This Row],[دسته بندی]],Table1468[مقدار به دقیقه])</f>
        <v>279.99999999999977</v>
      </c>
      <c r="N8" s="7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-39.999999999999773</v>
      </c>
    </row>
    <row r="9" spans="2:14" ht="20.25">
      <c r="B9" s="17">
        <v>3</v>
      </c>
      <c r="C9" s="16" t="s">
        <v>87</v>
      </c>
      <c r="D9" s="18">
        <v>0.25694444444444442</v>
      </c>
      <c r="E9" s="18">
        <v>0.27777777777777779</v>
      </c>
      <c r="F9" s="19">
        <f t="shared" si="0"/>
        <v>30.000000000000053</v>
      </c>
      <c r="G9" s="16" t="s">
        <v>6</v>
      </c>
      <c r="H9" s="16"/>
      <c r="K9" s="21" t="s">
        <v>7</v>
      </c>
      <c r="L9" s="21">
        <v>180</v>
      </c>
      <c r="M9" s="23">
        <f>SUMIF(Table1468[دسته بندی],Table2579[[#This Row],[دسته بندی]],Table1468[مقدار به دقیقه])</f>
        <v>79.999999999999957</v>
      </c>
      <c r="N9" s="21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100.00000000000004</v>
      </c>
    </row>
    <row r="10" spans="2:14" ht="20.25">
      <c r="B10" s="2">
        <v>4</v>
      </c>
      <c r="C10" s="1" t="s">
        <v>124</v>
      </c>
      <c r="D10" s="4">
        <v>0.27777777777777779</v>
      </c>
      <c r="E10" s="4">
        <v>0.34027777777777779</v>
      </c>
      <c r="F10" s="5">
        <f t="shared" si="0"/>
        <v>90</v>
      </c>
      <c r="G10" s="1" t="s">
        <v>9</v>
      </c>
      <c r="H10" s="1"/>
      <c r="K10" s="7" t="s">
        <v>8</v>
      </c>
      <c r="L10" s="7">
        <v>300</v>
      </c>
      <c r="M10" s="6">
        <f>SUMIF(Table1468[دسته بندی],Table2579[[#This Row],[دسته بندی]],Table1468[مقدار به دقیقه])</f>
        <v>305.00000000000011</v>
      </c>
      <c r="N10" s="7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-5.0000000000001137</v>
      </c>
    </row>
    <row r="11" spans="2:14" ht="20.25">
      <c r="B11" s="17">
        <v>5</v>
      </c>
      <c r="C11" s="16" t="s">
        <v>101</v>
      </c>
      <c r="D11" s="18">
        <v>0.34027777777777779</v>
      </c>
      <c r="E11" s="18">
        <v>0.39583333333333331</v>
      </c>
      <c r="F11" s="19">
        <f t="shared" si="0"/>
        <v>79.999999999999957</v>
      </c>
      <c r="G11" s="16" t="s">
        <v>7</v>
      </c>
      <c r="H11" s="16" t="s">
        <v>125</v>
      </c>
      <c r="K11" s="21" t="s">
        <v>9</v>
      </c>
      <c r="L11" s="21">
        <v>180</v>
      </c>
      <c r="M11" s="23">
        <f>SUMIF(Table1468[دسته بندی],Table2579[[#This Row],[دسته بندی]],Table1468[مقدار به دقیقه])</f>
        <v>180</v>
      </c>
      <c r="N11" s="21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12" spans="2:14" ht="20.25">
      <c r="B12" s="2">
        <v>6</v>
      </c>
      <c r="C12" s="1" t="s">
        <v>126</v>
      </c>
      <c r="D12" s="4">
        <v>0.40277777777777779</v>
      </c>
      <c r="E12" s="4">
        <v>0.47916666666666669</v>
      </c>
      <c r="F12" s="5">
        <f t="shared" si="0"/>
        <v>110.00000000000001</v>
      </c>
      <c r="G12" s="1" t="s">
        <v>8</v>
      </c>
      <c r="H12" s="1" t="s">
        <v>127</v>
      </c>
      <c r="K12" s="7" t="s">
        <v>10</v>
      </c>
      <c r="L12" s="10">
        <v>60</v>
      </c>
      <c r="M12" s="6">
        <f>SUMIF(Table1468[دسته بندی],Table2579[[#This Row],[دسته بندی]],Table1468[مقدار به دقیقه])</f>
        <v>60.000000000000107</v>
      </c>
      <c r="N12" s="7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13" spans="2:14" ht="20.25">
      <c r="B13" s="17">
        <v>7</v>
      </c>
      <c r="C13" s="16" t="s">
        <v>128</v>
      </c>
      <c r="D13" s="18">
        <v>0.47916666666666669</v>
      </c>
      <c r="E13" s="18">
        <v>0.5</v>
      </c>
      <c r="F13" s="19">
        <f t="shared" si="0"/>
        <v>29.999999999999972</v>
      </c>
      <c r="G13" s="16" t="s">
        <v>6</v>
      </c>
      <c r="H13" s="16"/>
      <c r="K13" s="21" t="s">
        <v>11</v>
      </c>
      <c r="L13" s="22">
        <v>120</v>
      </c>
      <c r="M13" s="23">
        <f>SUMIF(Table1468[دسته بندی],Table2579[[#This Row],[دسته بندی]],Table1468[مقدار به دقیقه])</f>
        <v>59.999999999999943</v>
      </c>
      <c r="N13" s="21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60.000000000000057</v>
      </c>
    </row>
    <row r="14" spans="2:14" ht="20.25">
      <c r="B14" s="2">
        <v>8</v>
      </c>
      <c r="C14" s="1" t="s">
        <v>129</v>
      </c>
      <c r="D14" s="4">
        <v>0.5</v>
      </c>
      <c r="E14" s="4">
        <v>0.54166666666666663</v>
      </c>
      <c r="F14" s="5">
        <f t="shared" si="0"/>
        <v>59.999999999999943</v>
      </c>
      <c r="G14" s="1" t="s">
        <v>6</v>
      </c>
      <c r="H14" s="1"/>
      <c r="K14" s="7" t="s">
        <v>12</v>
      </c>
      <c r="L14" s="10">
        <v>0</v>
      </c>
      <c r="M14" s="6">
        <f>SUMIF(Table1468[دسته بندی],Table2579[[#This Row],[دسته بندی]],Table1468[مقدار به دقیقه])</f>
        <v>0</v>
      </c>
      <c r="N14" s="7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15" spans="2:14" ht="20.25">
      <c r="B15" s="17">
        <v>9</v>
      </c>
      <c r="C15" s="16" t="s">
        <v>130</v>
      </c>
      <c r="D15" s="18">
        <v>0.54166666666666663</v>
      </c>
      <c r="E15" s="18">
        <v>0.64583333333333337</v>
      </c>
      <c r="F15" s="19">
        <f t="shared" si="0"/>
        <v>150.00000000000011</v>
      </c>
      <c r="G15" s="16" t="s">
        <v>8</v>
      </c>
      <c r="H15" s="16" t="s">
        <v>127</v>
      </c>
      <c r="K15" s="21" t="s">
        <v>13</v>
      </c>
      <c r="L15" s="21"/>
      <c r="M15" s="23">
        <f>SUMIF(Table1468[دسته بندی],Table2579[[#This Row],[دسته بندی]],Table1468[مقدار به دقیقه])</f>
        <v>0</v>
      </c>
      <c r="N15" s="21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16" spans="2:14" ht="20.25">
      <c r="B16" s="2">
        <v>10</v>
      </c>
      <c r="C16" s="1" t="s">
        <v>131</v>
      </c>
      <c r="D16" s="4">
        <v>0.64583333333333337</v>
      </c>
      <c r="E16" s="4">
        <v>0.66666666666666663</v>
      </c>
      <c r="F16" s="5">
        <f t="shared" si="0"/>
        <v>29.999999999999893</v>
      </c>
      <c r="G16" s="1" t="s">
        <v>6</v>
      </c>
      <c r="H16" s="1"/>
      <c r="K16" s="7" t="s">
        <v>14</v>
      </c>
      <c r="L16" s="7">
        <v>30</v>
      </c>
      <c r="M16" s="6">
        <f>SUMIF(Table1468[دسته بندی],Table2579[[#This Row],[دسته بندی]],Table1468[مقدار به دقیقه])</f>
        <v>0</v>
      </c>
      <c r="N16" s="7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17" spans="2:14" ht="20.25">
      <c r="B17" s="17">
        <v>11</v>
      </c>
      <c r="C17" s="16" t="s">
        <v>130</v>
      </c>
      <c r="D17" s="18">
        <v>0.66666666666666663</v>
      </c>
      <c r="E17" s="18">
        <v>0.69791666666666663</v>
      </c>
      <c r="F17" s="19">
        <f t="shared" si="0"/>
        <v>45</v>
      </c>
      <c r="G17" s="16" t="s">
        <v>8</v>
      </c>
      <c r="H17" s="16" t="s">
        <v>127</v>
      </c>
      <c r="K17" s="21" t="s">
        <v>15</v>
      </c>
      <c r="L17" s="21"/>
      <c r="M17" s="23">
        <f>SUMIF(Table1468[دسته بندی],Table2579[[#This Row],[دسته بندی]],Table1468[مقدار به دقیقه])</f>
        <v>0</v>
      </c>
      <c r="N17" s="21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18" spans="2:14" ht="20.25">
      <c r="B18" s="2">
        <v>12</v>
      </c>
      <c r="C18" s="1" t="s">
        <v>102</v>
      </c>
      <c r="D18" s="4">
        <v>0.70138888888888884</v>
      </c>
      <c r="E18" s="4">
        <v>0.76388888888888884</v>
      </c>
      <c r="F18" s="5">
        <f t="shared" si="0"/>
        <v>90</v>
      </c>
      <c r="G18" s="1" t="s">
        <v>9</v>
      </c>
      <c r="H18" s="1"/>
      <c r="K18" s="7" t="s">
        <v>16</v>
      </c>
      <c r="L18" s="7"/>
      <c r="M18" s="6">
        <f>SUMIF(Table1468[دسته بندی],Table2579[[#This Row],[دسته بندی]],Table1468[مقدار به دقیقه])</f>
        <v>0</v>
      </c>
      <c r="N18" s="7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19" spans="2:14" ht="20.25">
      <c r="B19" s="17">
        <v>13</v>
      </c>
      <c r="C19" s="16" t="s">
        <v>131</v>
      </c>
      <c r="D19" s="18">
        <v>0.76388888888888884</v>
      </c>
      <c r="E19" s="18">
        <v>0.79166666666666663</v>
      </c>
      <c r="F19" s="19">
        <f t="shared" si="0"/>
        <v>40.000000000000014</v>
      </c>
      <c r="G19" s="16" t="s">
        <v>6</v>
      </c>
      <c r="H19" s="16" t="s">
        <v>132</v>
      </c>
      <c r="K19" s="21" t="s">
        <v>17</v>
      </c>
      <c r="L19" s="21"/>
      <c r="M19" s="23">
        <f>SUMIF(Table1468[دسته بندی],Table2579[[#This Row],[دسته بندی]],Table1468[مقدار به دقیقه])</f>
        <v>0</v>
      </c>
      <c r="N19" s="21">
        <f>IF(OR(Table2579[[#This Row],[فعالیت پیش بینی شده ]]=0,Table2579[[#This Row],[مقدار فعالیت]]=0),0,IF(ABS(Table2579[[#This Row],[فعالیت پیش بینی شده ]]-Table2579[[#This Row],[مقدار فعالیت]])&lt;0.000001,0,Table2579[[#This Row],[فعالیت پیش بینی شده ]]-Table2579[[#This Row],[مقدار فعالیت]]))</f>
        <v>0</v>
      </c>
    </row>
    <row r="20" spans="2:14" ht="20.25">
      <c r="B20" s="2">
        <v>14</v>
      </c>
      <c r="C20" s="1" t="s">
        <v>133</v>
      </c>
      <c r="D20" s="4">
        <v>0.79166666666666663</v>
      </c>
      <c r="E20" s="4">
        <v>0.83333333333333337</v>
      </c>
      <c r="F20" s="5">
        <f t="shared" si="0"/>
        <v>60.000000000000107</v>
      </c>
      <c r="G20" s="1" t="s">
        <v>10</v>
      </c>
      <c r="H20" s="1" t="s">
        <v>134</v>
      </c>
    </row>
    <row r="21" spans="2:14" ht="20.25">
      <c r="B21" s="17">
        <v>15</v>
      </c>
      <c r="C21" s="16" t="s">
        <v>135</v>
      </c>
      <c r="D21" s="18">
        <v>0.83333333333333337</v>
      </c>
      <c r="E21" s="18">
        <v>0.875</v>
      </c>
      <c r="F21" s="19">
        <f t="shared" si="0"/>
        <v>59.999999999999943</v>
      </c>
      <c r="G21" s="16" t="s">
        <v>6</v>
      </c>
      <c r="H21" s="16"/>
    </row>
    <row r="22" spans="2:14" ht="20.25">
      <c r="B22" s="2">
        <v>16</v>
      </c>
      <c r="C22" s="1" t="s">
        <v>105</v>
      </c>
      <c r="D22" s="4">
        <v>0.875</v>
      </c>
      <c r="E22" s="4">
        <v>0.91666666666666663</v>
      </c>
      <c r="F22" s="5">
        <f t="shared" si="0"/>
        <v>59.999999999999943</v>
      </c>
      <c r="G22" s="1" t="s">
        <v>11</v>
      </c>
      <c r="H22" s="1"/>
    </row>
    <row r="23" spans="2:14" ht="20.25">
      <c r="B23" s="17">
        <v>17</v>
      </c>
      <c r="C23" s="16"/>
      <c r="D23" s="18"/>
      <c r="E23" s="18"/>
      <c r="F23" s="19" t="str">
        <f t="shared" si="0"/>
        <v/>
      </c>
      <c r="G23" s="16"/>
      <c r="H23" s="16"/>
    </row>
    <row r="24" spans="2:14" ht="20.25">
      <c r="B24" s="2">
        <v>18</v>
      </c>
      <c r="C24" s="1"/>
      <c r="D24" s="4"/>
      <c r="E24" s="4"/>
      <c r="F24" s="5" t="str">
        <f t="shared" si="0"/>
        <v/>
      </c>
      <c r="G24" s="1"/>
      <c r="H24" s="1"/>
    </row>
    <row r="25" spans="2:14" ht="20.25">
      <c r="B25" s="17">
        <v>19</v>
      </c>
      <c r="C25" s="16"/>
      <c r="D25" s="18"/>
      <c r="E25" s="18"/>
      <c r="F25" s="19" t="str">
        <f t="shared" si="0"/>
        <v/>
      </c>
      <c r="G25" s="16"/>
      <c r="H25" s="16"/>
    </row>
    <row r="26" spans="2:14" ht="20.25">
      <c r="B26" s="2">
        <v>20</v>
      </c>
      <c r="C26" s="1"/>
      <c r="D26" s="4"/>
      <c r="E26" s="4"/>
      <c r="F26" s="5" t="str">
        <f t="shared" si="0"/>
        <v/>
      </c>
      <c r="G26" s="1"/>
      <c r="H26" s="1"/>
    </row>
    <row r="27" spans="2:14" ht="20.25">
      <c r="B27" s="17">
        <v>21</v>
      </c>
      <c r="C27" s="16"/>
      <c r="D27" s="18"/>
      <c r="E27" s="18"/>
      <c r="F27" s="19" t="str">
        <f t="shared" si="0"/>
        <v/>
      </c>
      <c r="G27" s="16"/>
      <c r="H27" s="16"/>
    </row>
    <row r="28" spans="2:14" ht="20.25">
      <c r="B28" s="2">
        <v>22</v>
      </c>
      <c r="C28" s="1"/>
      <c r="D28" s="4"/>
      <c r="E28" s="4"/>
      <c r="F28" s="5" t="str">
        <f t="shared" si="0"/>
        <v/>
      </c>
      <c r="G28" s="1"/>
      <c r="H28" s="1"/>
    </row>
    <row r="29" spans="2:14" ht="20.25">
      <c r="B29" s="17">
        <v>23</v>
      </c>
      <c r="C29" s="16"/>
      <c r="D29" s="18"/>
      <c r="E29" s="18"/>
      <c r="F29" s="19" t="str">
        <f t="shared" si="0"/>
        <v/>
      </c>
      <c r="G29" s="16"/>
      <c r="H29" s="16"/>
    </row>
    <row r="30" spans="2:14" ht="20.25">
      <c r="B30" s="2">
        <v>24</v>
      </c>
      <c r="C30" s="1"/>
      <c r="D30" s="4"/>
      <c r="E30" s="4"/>
      <c r="F30" s="5" t="str">
        <f t="shared" si="0"/>
        <v/>
      </c>
      <c r="G30" s="1"/>
      <c r="H30" s="1"/>
    </row>
    <row r="31" spans="2:14" ht="20.25">
      <c r="B31" s="17">
        <v>25</v>
      </c>
      <c r="C31" s="16"/>
      <c r="D31" s="18"/>
      <c r="E31" s="18"/>
      <c r="F31" s="19" t="str">
        <f t="shared" si="0"/>
        <v/>
      </c>
      <c r="G31" s="16"/>
      <c r="H31" s="16"/>
    </row>
    <row r="32" spans="2:14" ht="20.25">
      <c r="B32" s="2">
        <v>26</v>
      </c>
      <c r="C32" s="1"/>
      <c r="D32" s="4"/>
      <c r="E32" s="4"/>
      <c r="F32" s="5" t="str">
        <f t="shared" si="0"/>
        <v/>
      </c>
      <c r="G32" s="1"/>
      <c r="H32" s="1"/>
    </row>
    <row r="33" spans="2:8" ht="20.25">
      <c r="B33" s="17">
        <v>27</v>
      </c>
      <c r="C33" s="16"/>
      <c r="D33" s="18"/>
      <c r="E33" s="18"/>
      <c r="F33" s="19" t="str">
        <f t="shared" si="0"/>
        <v/>
      </c>
      <c r="G33" s="16"/>
      <c r="H33" s="16"/>
    </row>
    <row r="34" spans="2:8" ht="20.25">
      <c r="B34" s="2">
        <v>28</v>
      </c>
      <c r="C34" s="1"/>
      <c r="D34" s="4"/>
      <c r="E34" s="4"/>
      <c r="F34" s="5" t="str">
        <f t="shared" si="0"/>
        <v/>
      </c>
      <c r="G34" s="1"/>
      <c r="H34" s="1"/>
    </row>
    <row r="35" spans="2:8" ht="20.25">
      <c r="B35" s="17">
        <v>29</v>
      </c>
      <c r="C35" s="16"/>
      <c r="D35" s="18"/>
      <c r="E35" s="18"/>
      <c r="F35" s="19" t="str">
        <f t="shared" si="0"/>
        <v/>
      </c>
      <c r="G35" s="16"/>
      <c r="H35" s="16"/>
    </row>
    <row r="36" spans="2:8" ht="20.25">
      <c r="B36" s="2">
        <v>30</v>
      </c>
      <c r="C36" s="1"/>
      <c r="D36" s="4"/>
      <c r="E36" s="4"/>
      <c r="F36" s="5" t="str">
        <f t="shared" si="0"/>
        <v/>
      </c>
      <c r="G36" s="1"/>
      <c r="H36" s="1"/>
    </row>
  </sheetData>
  <mergeCells count="2">
    <mergeCell ref="B5:D5"/>
    <mergeCell ref="E5:H5"/>
  </mergeCells>
  <conditionalFormatting sqref="N7:N19">
    <cfRule type="cellIs" dxfId="15" priority="1" operator="equal">
      <formula>0</formula>
    </cfRule>
    <cfRule type="cellIs" dxfId="14" priority="2" operator="lessThan">
      <formula>0</formula>
    </cfRule>
    <cfRule type="cellIs" dxfId="13" priority="3" operator="greaterThan">
      <formula>0</formula>
    </cfRule>
  </conditionalFormatting>
  <dataValidations count="1">
    <dataValidation type="list" allowBlank="1" showInputMessage="1" showErrorMessage="1" sqref="G7:G36" xr:uid="{D6CD2CDA-44D7-45D5-B300-05D7FDA2FF94}">
      <formula1>$K$7:$K$19</formula1>
    </dataValidation>
  </dataValidations>
  <pageMargins left="0.7" right="0.7" top="0.75" bottom="0.75" header="0.3" footer="0.3"/>
  <drawing r:id="rId1"/>
  <picture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1988-0BD9-4713-95DE-B08236A9F15A}">
  <dimension ref="B5:N36"/>
  <sheetViews>
    <sheetView showGridLines="0" rightToLeft="1" zoomScale="80" zoomScaleNormal="80" workbookViewId="0">
      <selection activeCell="L7" sqref="L7:L19"/>
    </sheetView>
  </sheetViews>
  <sheetFormatPr defaultRowHeight="15"/>
  <cols>
    <col min="3" max="3" width="23.5703125" customWidth="1"/>
    <col min="4" max="4" width="16.5703125" customWidth="1"/>
    <col min="5" max="5" width="17.5703125" customWidth="1"/>
    <col min="6" max="6" width="17.28515625" customWidth="1"/>
    <col min="7" max="7" width="19.5703125" customWidth="1"/>
    <col min="8" max="8" width="39.5703125" customWidth="1"/>
    <col min="11" max="11" width="19.28515625" customWidth="1"/>
    <col min="12" max="12" width="25" customWidth="1"/>
    <col min="13" max="13" width="28.42578125" customWidth="1"/>
    <col min="14" max="14" width="17.42578125" customWidth="1"/>
  </cols>
  <sheetData>
    <row r="5" spans="2:14" ht="20.25">
      <c r="B5" s="34" t="s">
        <v>41</v>
      </c>
      <c r="C5" s="34"/>
      <c r="D5" s="34"/>
      <c r="E5" s="34" t="s">
        <v>139</v>
      </c>
      <c r="F5" s="34"/>
      <c r="G5" s="34"/>
      <c r="H5" s="34"/>
    </row>
    <row r="6" spans="2:14" ht="20.25">
      <c r="B6" s="12" t="s">
        <v>21</v>
      </c>
      <c r="C6" s="12" t="s">
        <v>0</v>
      </c>
      <c r="D6" s="12" t="s">
        <v>1</v>
      </c>
      <c r="E6" s="12" t="s">
        <v>2</v>
      </c>
      <c r="F6" s="12" t="s">
        <v>22</v>
      </c>
      <c r="G6" s="12" t="s">
        <v>3</v>
      </c>
      <c r="H6" s="12" t="s">
        <v>4</v>
      </c>
      <c r="I6" s="14"/>
      <c r="J6" s="14"/>
      <c r="K6" s="13" t="s">
        <v>3</v>
      </c>
      <c r="L6" s="13" t="s">
        <v>18</v>
      </c>
      <c r="M6" s="13" t="s">
        <v>19</v>
      </c>
      <c r="N6" s="13" t="s">
        <v>20</v>
      </c>
    </row>
    <row r="7" spans="2:14" ht="20.25">
      <c r="B7" s="17">
        <v>1</v>
      </c>
      <c r="C7" s="16" t="s">
        <v>5</v>
      </c>
      <c r="D7" s="18">
        <v>0.9375</v>
      </c>
      <c r="E7" s="18">
        <v>0.2361111111111111</v>
      </c>
      <c r="F7" s="19">
        <f t="shared" ref="F7:F36" si="0">IF(OR(D7="",E7=""),"",IF(E7&gt;=D7,(E7-D7)*24*60,(E7-D7+1)*24*60))</f>
        <v>430.00000000000006</v>
      </c>
      <c r="G7" s="16" t="s">
        <v>5</v>
      </c>
      <c r="H7" s="16"/>
      <c r="K7" s="21" t="s">
        <v>5</v>
      </c>
      <c r="L7" s="22">
        <v>420</v>
      </c>
      <c r="M7" s="23">
        <f>SUMIF(Table146[دسته بندی],Table257[[#This Row],[دسته بندی]],Table146[مقدار به دقیقه])</f>
        <v>430.00000000000006</v>
      </c>
      <c r="N7" s="21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-10.000000000000057</v>
      </c>
    </row>
    <row r="8" spans="2:14" ht="20.25">
      <c r="B8" s="2">
        <v>2</v>
      </c>
      <c r="C8" s="1" t="s">
        <v>11</v>
      </c>
      <c r="D8" s="4">
        <v>0.2361111111111111</v>
      </c>
      <c r="E8" s="4">
        <v>0.25694444444444442</v>
      </c>
      <c r="F8" s="5">
        <f t="shared" si="0"/>
        <v>29.999999999999972</v>
      </c>
      <c r="G8" s="1" t="s">
        <v>11</v>
      </c>
      <c r="H8" s="1" t="s">
        <v>123</v>
      </c>
      <c r="K8" s="7" t="s">
        <v>6</v>
      </c>
      <c r="L8" s="7">
        <v>240</v>
      </c>
      <c r="M8" s="6">
        <f>SUMIF(Table146[دسته بندی],Table257[[#This Row],[دسته بندی]],Table146[مقدار به دقیقه])</f>
        <v>279.99999999999989</v>
      </c>
      <c r="N8" s="7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-39.999999999999886</v>
      </c>
    </row>
    <row r="9" spans="2:14" ht="20.25">
      <c r="B9" s="17">
        <v>3</v>
      </c>
      <c r="C9" s="16" t="s">
        <v>87</v>
      </c>
      <c r="D9" s="18">
        <v>0.25694444444444442</v>
      </c>
      <c r="E9" s="18">
        <v>0.27777777777777779</v>
      </c>
      <c r="F9" s="19">
        <f t="shared" si="0"/>
        <v>30.000000000000053</v>
      </c>
      <c r="G9" s="16" t="s">
        <v>6</v>
      </c>
      <c r="H9" s="16"/>
      <c r="K9" s="21" t="s">
        <v>7</v>
      </c>
      <c r="L9" s="21">
        <v>180</v>
      </c>
      <c r="M9" s="23">
        <f>SUMIF(Table146[دسته بندی],Table257[[#This Row],[دسته بندی]],Table146[مقدار به دقیقه])</f>
        <v>79.999999999999957</v>
      </c>
      <c r="N9" s="21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100.00000000000004</v>
      </c>
    </row>
    <row r="10" spans="2:14" ht="20.25">
      <c r="B10" s="2">
        <v>4</v>
      </c>
      <c r="C10" s="1" t="s">
        <v>124</v>
      </c>
      <c r="D10" s="4">
        <v>0.27777777777777779</v>
      </c>
      <c r="E10" s="4">
        <v>0.34027777777777779</v>
      </c>
      <c r="F10" s="5">
        <f t="shared" si="0"/>
        <v>90</v>
      </c>
      <c r="G10" s="1" t="s">
        <v>9</v>
      </c>
      <c r="H10" s="1"/>
      <c r="K10" s="7" t="s">
        <v>8</v>
      </c>
      <c r="L10" s="7">
        <v>300</v>
      </c>
      <c r="M10" s="6">
        <f>SUMIF(Table146[دسته بندی],Table257[[#This Row],[دسته بندی]],Table146[مقدار به دقیقه])</f>
        <v>305.00000000000011</v>
      </c>
      <c r="N10" s="7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-5.0000000000001137</v>
      </c>
    </row>
    <row r="11" spans="2:14" ht="20.25">
      <c r="B11" s="17">
        <v>5</v>
      </c>
      <c r="C11" s="16" t="s">
        <v>101</v>
      </c>
      <c r="D11" s="18">
        <v>0.34027777777777779</v>
      </c>
      <c r="E11" s="18">
        <v>0.39583333333333331</v>
      </c>
      <c r="F11" s="19">
        <f t="shared" si="0"/>
        <v>79.999999999999957</v>
      </c>
      <c r="G11" s="16" t="s">
        <v>7</v>
      </c>
      <c r="H11" s="16" t="s">
        <v>138</v>
      </c>
      <c r="K11" s="21" t="s">
        <v>9</v>
      </c>
      <c r="L11" s="21">
        <v>180</v>
      </c>
      <c r="M11" s="23">
        <f>SUMIF(Table146[دسته بندی],Table257[[#This Row],[دسته بندی]],Table146[مقدار به دقیقه])</f>
        <v>180</v>
      </c>
      <c r="N11" s="21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0</v>
      </c>
    </row>
    <row r="12" spans="2:14" ht="20.25">
      <c r="B12" s="2">
        <v>6</v>
      </c>
      <c r="C12" s="1" t="s">
        <v>126</v>
      </c>
      <c r="D12" s="4">
        <v>0.40277777777777779</v>
      </c>
      <c r="E12" s="4">
        <v>0.47916666666666669</v>
      </c>
      <c r="F12" s="5">
        <f t="shared" si="0"/>
        <v>110.00000000000001</v>
      </c>
      <c r="G12" s="1" t="s">
        <v>8</v>
      </c>
      <c r="H12" s="1" t="s">
        <v>127</v>
      </c>
      <c r="K12" s="7" t="s">
        <v>10</v>
      </c>
      <c r="L12" s="10">
        <v>60</v>
      </c>
      <c r="M12" s="6">
        <f>SUMIF(Table146[دسته بندی],Table257[[#This Row],[دسته بندی]],Table146[مقدار به دقیقه])</f>
        <v>90</v>
      </c>
      <c r="N12" s="7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-30</v>
      </c>
    </row>
    <row r="13" spans="2:14" ht="20.25">
      <c r="B13" s="17">
        <v>7</v>
      </c>
      <c r="C13" s="16" t="s">
        <v>128</v>
      </c>
      <c r="D13" s="18">
        <v>0.47916666666666669</v>
      </c>
      <c r="E13" s="18">
        <v>0.5</v>
      </c>
      <c r="F13" s="19">
        <f t="shared" si="0"/>
        <v>29.999999999999972</v>
      </c>
      <c r="G13" s="16" t="s">
        <v>6</v>
      </c>
      <c r="H13" s="16"/>
      <c r="K13" s="21" t="s">
        <v>11</v>
      </c>
      <c r="L13" s="22">
        <v>120</v>
      </c>
      <c r="M13" s="23">
        <f>SUMIF(Table146[دسته بندی],Table257[[#This Row],[دسته بندی]],Table146[مقدار به دقیقه])</f>
        <v>29.999999999999972</v>
      </c>
      <c r="N13" s="21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90.000000000000028</v>
      </c>
    </row>
    <row r="14" spans="2:14" ht="20.25">
      <c r="B14" s="2">
        <v>8</v>
      </c>
      <c r="C14" s="1" t="s">
        <v>129</v>
      </c>
      <c r="D14" s="4">
        <v>0.5</v>
      </c>
      <c r="E14" s="4">
        <v>0.54166666666666663</v>
      </c>
      <c r="F14" s="5">
        <f t="shared" si="0"/>
        <v>59.999999999999943</v>
      </c>
      <c r="G14" s="1" t="s">
        <v>6</v>
      </c>
      <c r="H14" s="1"/>
      <c r="K14" s="7" t="s">
        <v>12</v>
      </c>
      <c r="L14" s="10">
        <v>0</v>
      </c>
      <c r="M14" s="6">
        <f>SUMIF(Table146[دسته بندی],Table257[[#This Row],[دسته بندی]],Table146[مقدار به دقیقه])</f>
        <v>0</v>
      </c>
      <c r="N14" s="7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0</v>
      </c>
    </row>
    <row r="15" spans="2:14" ht="20.25">
      <c r="B15" s="17">
        <v>9</v>
      </c>
      <c r="C15" s="16" t="s">
        <v>130</v>
      </c>
      <c r="D15" s="18">
        <v>0.54166666666666663</v>
      </c>
      <c r="E15" s="18">
        <v>0.64583333333333337</v>
      </c>
      <c r="F15" s="19">
        <f t="shared" si="0"/>
        <v>150.00000000000011</v>
      </c>
      <c r="G15" s="16" t="s">
        <v>8</v>
      </c>
      <c r="H15" s="16" t="s">
        <v>127</v>
      </c>
      <c r="K15" s="21" t="s">
        <v>13</v>
      </c>
      <c r="L15" s="21"/>
      <c r="M15" s="23">
        <f>SUMIF(Table146[دسته بندی],Table257[[#This Row],[دسته بندی]],Table146[مقدار به دقیقه])</f>
        <v>0</v>
      </c>
      <c r="N15" s="21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0</v>
      </c>
    </row>
    <row r="16" spans="2:14" ht="20.25">
      <c r="B16" s="2">
        <v>10</v>
      </c>
      <c r="C16" s="1" t="s">
        <v>131</v>
      </c>
      <c r="D16" s="4">
        <v>0.64583333333333337</v>
      </c>
      <c r="E16" s="4">
        <v>0.66666666666666663</v>
      </c>
      <c r="F16" s="5">
        <f t="shared" si="0"/>
        <v>29.999999999999893</v>
      </c>
      <c r="G16" s="1" t="s">
        <v>6</v>
      </c>
      <c r="H16" s="1"/>
      <c r="K16" s="7" t="s">
        <v>14</v>
      </c>
      <c r="L16" s="7">
        <v>30</v>
      </c>
      <c r="M16" s="6">
        <f>SUMIF(Table146[دسته بندی],Table257[[#This Row],[دسته بندی]],Table146[مقدار به دقیقه])</f>
        <v>0</v>
      </c>
      <c r="N16" s="7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0</v>
      </c>
    </row>
    <row r="17" spans="2:14" ht="20.25">
      <c r="B17" s="17">
        <v>11</v>
      </c>
      <c r="C17" s="16" t="s">
        <v>130</v>
      </c>
      <c r="D17" s="18">
        <v>0.66666666666666663</v>
      </c>
      <c r="E17" s="18">
        <v>0.69791666666666663</v>
      </c>
      <c r="F17" s="19">
        <f t="shared" si="0"/>
        <v>45</v>
      </c>
      <c r="G17" s="16" t="s">
        <v>8</v>
      </c>
      <c r="H17" s="16" t="s">
        <v>127</v>
      </c>
      <c r="K17" s="21" t="s">
        <v>15</v>
      </c>
      <c r="L17" s="21"/>
      <c r="M17" s="23">
        <f>SUMIF(Table146[دسته بندی],Table257[[#This Row],[دسته بندی]],Table146[مقدار به دقیقه])</f>
        <v>0</v>
      </c>
      <c r="N17" s="21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0</v>
      </c>
    </row>
    <row r="18" spans="2:14" ht="20.25">
      <c r="B18" s="2">
        <v>12</v>
      </c>
      <c r="C18" s="1" t="s">
        <v>102</v>
      </c>
      <c r="D18" s="4">
        <v>0.70138888888888884</v>
      </c>
      <c r="E18" s="4">
        <v>0.76388888888888884</v>
      </c>
      <c r="F18" s="5">
        <f t="shared" si="0"/>
        <v>90</v>
      </c>
      <c r="G18" s="1" t="s">
        <v>9</v>
      </c>
      <c r="H18" s="1"/>
      <c r="K18" s="7" t="s">
        <v>16</v>
      </c>
      <c r="L18" s="7"/>
      <c r="M18" s="6">
        <f>SUMIF(Table146[دسته بندی],Table257[[#This Row],[دسته بندی]],Table146[مقدار به دقیقه])</f>
        <v>0</v>
      </c>
      <c r="N18" s="7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0</v>
      </c>
    </row>
    <row r="19" spans="2:14" ht="20.25">
      <c r="B19" s="17">
        <v>13</v>
      </c>
      <c r="C19" s="16" t="s">
        <v>131</v>
      </c>
      <c r="D19" s="18">
        <v>0.76388888888888884</v>
      </c>
      <c r="E19" s="18">
        <v>0.79166666666666663</v>
      </c>
      <c r="F19" s="19">
        <f t="shared" si="0"/>
        <v>40.000000000000014</v>
      </c>
      <c r="G19" s="16" t="s">
        <v>6</v>
      </c>
      <c r="H19" s="16" t="s">
        <v>132</v>
      </c>
      <c r="K19" s="21" t="s">
        <v>17</v>
      </c>
      <c r="L19" s="21"/>
      <c r="M19" s="23">
        <f>SUMIF(Table146[دسته بندی],Table257[[#This Row],[دسته بندی]],Table146[مقدار به دقیقه])</f>
        <v>0</v>
      </c>
      <c r="N19" s="21">
        <f>IF(OR(Table257[[#This Row],[فعالیت پیش بینی شده ]]=0,Table257[[#This Row],[مقدار فعالیت]]=0),0,IF(ABS(Table257[[#This Row],[فعالیت پیش بینی شده ]]-Table257[[#This Row],[مقدار فعالیت]])&lt;0.000001,0,Table257[[#This Row],[فعالیت پیش بینی شده ]]-Table257[[#This Row],[مقدار فعالیت]]))</f>
        <v>0</v>
      </c>
    </row>
    <row r="20" spans="2:14" ht="20.25">
      <c r="B20" s="2">
        <v>14</v>
      </c>
      <c r="C20" s="1" t="s">
        <v>136</v>
      </c>
      <c r="D20" s="4">
        <v>0.79166666666666663</v>
      </c>
      <c r="E20" s="4">
        <v>0.85416666666666663</v>
      </c>
      <c r="F20" s="5">
        <f t="shared" si="0"/>
        <v>90</v>
      </c>
      <c r="G20" s="1" t="s">
        <v>10</v>
      </c>
      <c r="H20" s="1" t="s">
        <v>134</v>
      </c>
    </row>
    <row r="21" spans="2:14" ht="20.25">
      <c r="B21" s="17">
        <v>15</v>
      </c>
      <c r="C21" s="16" t="s">
        <v>135</v>
      </c>
      <c r="D21" s="18">
        <v>0.85416666666666663</v>
      </c>
      <c r="E21" s="18">
        <v>0.875</v>
      </c>
      <c r="F21" s="19">
        <f t="shared" si="0"/>
        <v>30.000000000000053</v>
      </c>
      <c r="G21" s="16" t="s">
        <v>6</v>
      </c>
      <c r="H21" s="16"/>
    </row>
    <row r="22" spans="2:14" ht="20.25">
      <c r="B22" s="2">
        <v>16</v>
      </c>
      <c r="C22" s="1" t="s">
        <v>137</v>
      </c>
      <c r="D22" s="4">
        <v>0.875</v>
      </c>
      <c r="E22" s="4">
        <v>0.91666666666666663</v>
      </c>
      <c r="F22" s="5">
        <f t="shared" si="0"/>
        <v>59.999999999999943</v>
      </c>
      <c r="G22" s="1" t="s">
        <v>6</v>
      </c>
      <c r="H22" s="1"/>
    </row>
    <row r="23" spans="2:14" ht="20.25">
      <c r="B23" s="17">
        <v>17</v>
      </c>
      <c r="C23" s="16"/>
      <c r="D23" s="18"/>
      <c r="E23" s="18"/>
      <c r="F23" s="19" t="str">
        <f t="shared" si="0"/>
        <v/>
      </c>
      <c r="G23" s="16"/>
      <c r="H23" s="16"/>
    </row>
    <row r="24" spans="2:14" ht="20.25">
      <c r="B24" s="2">
        <v>18</v>
      </c>
      <c r="C24" s="1"/>
      <c r="D24" s="4"/>
      <c r="E24" s="4"/>
      <c r="F24" s="5" t="str">
        <f t="shared" si="0"/>
        <v/>
      </c>
      <c r="G24" s="1"/>
      <c r="H24" s="1"/>
    </row>
    <row r="25" spans="2:14" ht="20.25">
      <c r="B25" s="17">
        <v>19</v>
      </c>
      <c r="C25" s="16"/>
      <c r="D25" s="18"/>
      <c r="E25" s="18"/>
      <c r="F25" s="19" t="str">
        <f t="shared" si="0"/>
        <v/>
      </c>
      <c r="G25" s="16"/>
      <c r="H25" s="16"/>
    </row>
    <row r="26" spans="2:14" ht="20.25">
      <c r="B26" s="2">
        <v>20</v>
      </c>
      <c r="C26" s="1"/>
      <c r="D26" s="4"/>
      <c r="E26" s="4"/>
      <c r="F26" s="5" t="str">
        <f t="shared" si="0"/>
        <v/>
      </c>
      <c r="G26" s="1"/>
      <c r="H26" s="1"/>
    </row>
    <row r="27" spans="2:14" ht="20.25">
      <c r="B27" s="17">
        <v>21</v>
      </c>
      <c r="C27" s="16"/>
      <c r="D27" s="18"/>
      <c r="E27" s="18"/>
      <c r="F27" s="19" t="str">
        <f t="shared" si="0"/>
        <v/>
      </c>
      <c r="G27" s="16"/>
      <c r="H27" s="16"/>
    </row>
    <row r="28" spans="2:14" ht="20.25">
      <c r="B28" s="2">
        <v>22</v>
      </c>
      <c r="C28" s="1"/>
      <c r="D28" s="4"/>
      <c r="E28" s="4"/>
      <c r="F28" s="5" t="str">
        <f t="shared" si="0"/>
        <v/>
      </c>
      <c r="G28" s="1"/>
      <c r="H28" s="1"/>
    </row>
    <row r="29" spans="2:14" ht="20.25">
      <c r="B29" s="17">
        <v>23</v>
      </c>
      <c r="C29" s="16"/>
      <c r="D29" s="18"/>
      <c r="E29" s="18"/>
      <c r="F29" s="19" t="str">
        <f t="shared" si="0"/>
        <v/>
      </c>
      <c r="G29" s="16"/>
      <c r="H29" s="16"/>
    </row>
    <row r="30" spans="2:14" ht="20.25">
      <c r="B30" s="2">
        <v>24</v>
      </c>
      <c r="C30" s="1"/>
      <c r="D30" s="4"/>
      <c r="E30" s="4"/>
      <c r="F30" s="5" t="str">
        <f t="shared" si="0"/>
        <v/>
      </c>
      <c r="G30" s="1"/>
      <c r="H30" s="1"/>
    </row>
    <row r="31" spans="2:14" ht="20.25">
      <c r="B31" s="17">
        <v>25</v>
      </c>
      <c r="C31" s="16"/>
      <c r="D31" s="18"/>
      <c r="E31" s="18"/>
      <c r="F31" s="19" t="str">
        <f t="shared" si="0"/>
        <v/>
      </c>
      <c r="G31" s="16"/>
      <c r="H31" s="16"/>
    </row>
    <row r="32" spans="2:14" ht="20.25">
      <c r="B32" s="2">
        <v>26</v>
      </c>
      <c r="C32" s="1"/>
      <c r="D32" s="4"/>
      <c r="E32" s="4"/>
      <c r="F32" s="5" t="str">
        <f t="shared" si="0"/>
        <v/>
      </c>
      <c r="G32" s="1"/>
      <c r="H32" s="1"/>
    </row>
    <row r="33" spans="2:8" ht="20.25">
      <c r="B33" s="17">
        <v>27</v>
      </c>
      <c r="C33" s="16"/>
      <c r="D33" s="18"/>
      <c r="E33" s="18"/>
      <c r="F33" s="19" t="str">
        <f t="shared" si="0"/>
        <v/>
      </c>
      <c r="G33" s="16"/>
      <c r="H33" s="16"/>
    </row>
    <row r="34" spans="2:8" ht="20.25">
      <c r="B34" s="2">
        <v>28</v>
      </c>
      <c r="C34" s="1"/>
      <c r="D34" s="4"/>
      <c r="E34" s="4"/>
      <c r="F34" s="5" t="str">
        <f t="shared" si="0"/>
        <v/>
      </c>
      <c r="G34" s="1"/>
      <c r="H34" s="1"/>
    </row>
    <row r="35" spans="2:8" ht="20.25">
      <c r="B35" s="17">
        <v>29</v>
      </c>
      <c r="C35" s="16"/>
      <c r="D35" s="18"/>
      <c r="E35" s="18"/>
      <c r="F35" s="19" t="str">
        <f t="shared" si="0"/>
        <v/>
      </c>
      <c r="G35" s="16"/>
      <c r="H35" s="16"/>
    </row>
    <row r="36" spans="2:8" ht="20.25">
      <c r="B36" s="2">
        <v>30</v>
      </c>
      <c r="C36" s="1"/>
      <c r="D36" s="4"/>
      <c r="E36" s="4"/>
      <c r="F36" s="5" t="str">
        <f t="shared" si="0"/>
        <v/>
      </c>
      <c r="G36" s="1"/>
      <c r="H36" s="1"/>
    </row>
  </sheetData>
  <mergeCells count="2">
    <mergeCell ref="B5:D5"/>
    <mergeCell ref="E5:H5"/>
  </mergeCells>
  <conditionalFormatting sqref="N7:N19">
    <cfRule type="cellIs" dxfId="12" priority="1" operator="equal">
      <formula>0</formula>
    </cfRule>
    <cfRule type="cellIs" dxfId="11" priority="2" operator="lessThan">
      <formula>0</formula>
    </cfRule>
    <cfRule type="cellIs" dxfId="10" priority="3" operator="greaterThan">
      <formula>0</formula>
    </cfRule>
  </conditionalFormatting>
  <dataValidations count="1">
    <dataValidation type="list" allowBlank="1" showInputMessage="1" showErrorMessage="1" sqref="G7:G36" xr:uid="{65067079-BA82-4A46-BFC4-B7F040556D1D}">
      <formula1>$K$7:$K$19</formula1>
    </dataValidation>
  </dataValidations>
  <pageMargins left="0.7" right="0.7" top="0.75" bottom="0.75" header="0.3" footer="0.3"/>
  <drawing r:id="rId1"/>
  <picture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1F99-82AB-4FDA-AC22-7C56A918D3FC}">
  <dimension ref="B5:N36"/>
  <sheetViews>
    <sheetView showGridLines="0" rightToLeft="1" topLeftCell="A15" zoomScale="80" zoomScaleNormal="80" workbookViewId="0">
      <selection activeCell="G21" sqref="G21"/>
    </sheetView>
  </sheetViews>
  <sheetFormatPr defaultRowHeight="15"/>
  <cols>
    <col min="3" max="3" width="23.5703125" customWidth="1"/>
    <col min="4" max="4" width="16.5703125" customWidth="1"/>
    <col min="5" max="5" width="17.5703125" customWidth="1"/>
    <col min="6" max="6" width="17.28515625" customWidth="1"/>
    <col min="7" max="7" width="19.5703125" customWidth="1"/>
    <col min="8" max="8" width="39.5703125" customWidth="1"/>
    <col min="11" max="11" width="19.28515625" customWidth="1"/>
    <col min="12" max="12" width="25" customWidth="1"/>
    <col min="13" max="13" width="28.42578125" customWidth="1"/>
    <col min="14" max="14" width="17.42578125" customWidth="1"/>
  </cols>
  <sheetData>
    <row r="5" spans="2:14" ht="20.25">
      <c r="B5" s="34" t="s">
        <v>42</v>
      </c>
      <c r="C5" s="34"/>
      <c r="D5" s="34"/>
      <c r="E5" s="34" t="s">
        <v>148</v>
      </c>
      <c r="F5" s="34"/>
      <c r="G5" s="34"/>
      <c r="H5" s="34"/>
    </row>
    <row r="6" spans="2:14" ht="20.25">
      <c r="B6" s="12" t="s">
        <v>21</v>
      </c>
      <c r="C6" s="12" t="s">
        <v>0</v>
      </c>
      <c r="D6" s="12" t="s">
        <v>1</v>
      </c>
      <c r="E6" s="12" t="s">
        <v>2</v>
      </c>
      <c r="F6" s="12" t="s">
        <v>22</v>
      </c>
      <c r="G6" s="12" t="s">
        <v>3</v>
      </c>
      <c r="H6" s="12" t="s">
        <v>4</v>
      </c>
      <c r="I6" s="14"/>
      <c r="J6" s="14"/>
      <c r="K6" s="13" t="s">
        <v>3</v>
      </c>
      <c r="L6" s="13" t="s">
        <v>18</v>
      </c>
      <c r="M6" s="13" t="s">
        <v>19</v>
      </c>
      <c r="N6" s="13" t="s">
        <v>20</v>
      </c>
    </row>
    <row r="7" spans="2:14" ht="20.25">
      <c r="B7" s="17">
        <v>1</v>
      </c>
      <c r="C7" s="16" t="s">
        <v>5</v>
      </c>
      <c r="D7" s="18">
        <v>0.9375</v>
      </c>
      <c r="E7" s="18">
        <v>0.22916666666666666</v>
      </c>
      <c r="F7" s="19">
        <f t="shared" ref="F7:F36" si="0">IF(OR(D7="",E7=""),"",IF(E7&gt;=D7,(E7-D7)*24*60,(E7-D7+1)*24*60))</f>
        <v>419.99999999999994</v>
      </c>
      <c r="G7" s="16" t="s">
        <v>5</v>
      </c>
      <c r="H7" s="16"/>
      <c r="K7" s="21" t="s">
        <v>5</v>
      </c>
      <c r="L7" s="22">
        <v>420</v>
      </c>
      <c r="M7" s="23">
        <f>SUMIF(Table14[دسته بندی],Table25[[#This Row],[دسته بندی]],Table14[مقدار به دقیقه])</f>
        <v>419.99999999999994</v>
      </c>
      <c r="N7" s="21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0</v>
      </c>
    </row>
    <row r="8" spans="2:14" ht="20.25">
      <c r="B8" s="2">
        <v>2</v>
      </c>
      <c r="C8" s="1" t="s">
        <v>11</v>
      </c>
      <c r="D8" s="4">
        <v>0.22916666666666666</v>
      </c>
      <c r="E8" s="4">
        <v>0.25</v>
      </c>
      <c r="F8" s="5">
        <f t="shared" si="0"/>
        <v>30.000000000000014</v>
      </c>
      <c r="G8" s="1" t="s">
        <v>11</v>
      </c>
      <c r="H8" s="1" t="s">
        <v>140</v>
      </c>
      <c r="K8" s="7" t="s">
        <v>6</v>
      </c>
      <c r="L8" s="7">
        <v>240</v>
      </c>
      <c r="M8" s="6">
        <f>SUMIF(Table14[دسته بندی],Table25[[#This Row],[دسته بندی]],Table14[مقدار به دقیقه])</f>
        <v>209.99999999999989</v>
      </c>
      <c r="N8" s="7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30.000000000000114</v>
      </c>
    </row>
    <row r="9" spans="2:14" ht="20.25">
      <c r="B9" s="17">
        <v>3</v>
      </c>
      <c r="C9" s="16" t="s">
        <v>109</v>
      </c>
      <c r="D9" s="18">
        <v>0.25</v>
      </c>
      <c r="E9" s="18">
        <v>0.27083333333333331</v>
      </c>
      <c r="F9" s="19">
        <f t="shared" si="0"/>
        <v>29.999999999999972</v>
      </c>
      <c r="G9" s="16" t="s">
        <v>6</v>
      </c>
      <c r="H9" s="16"/>
      <c r="K9" s="21" t="s">
        <v>7</v>
      </c>
      <c r="L9" s="21">
        <v>180</v>
      </c>
      <c r="M9" s="23">
        <f>SUMIF(Table14[دسته بندی],Table25[[#This Row],[دسته بندی]],Table14[مقدار به دقیقه])</f>
        <v>0</v>
      </c>
      <c r="N9" s="21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0</v>
      </c>
    </row>
    <row r="10" spans="2:14" ht="20.25">
      <c r="B10" s="2">
        <v>4</v>
      </c>
      <c r="C10" s="1" t="s">
        <v>141</v>
      </c>
      <c r="D10" s="4">
        <v>0.27777777777777779</v>
      </c>
      <c r="E10" s="4">
        <v>0.33333333333333331</v>
      </c>
      <c r="F10" s="5">
        <f t="shared" si="0"/>
        <v>79.999999999999957</v>
      </c>
      <c r="G10" s="1" t="s">
        <v>9</v>
      </c>
      <c r="H10" s="1"/>
      <c r="K10" s="7" t="s">
        <v>8</v>
      </c>
      <c r="L10" s="7">
        <v>240</v>
      </c>
      <c r="M10" s="6">
        <f>SUMIF(Table14[دسته بندی],Table25[[#This Row],[دسته بندی]],Table14[مقدار به دقیقه])</f>
        <v>259.99999999999989</v>
      </c>
      <c r="N10" s="7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-19.999999999999886</v>
      </c>
    </row>
    <row r="11" spans="2:14" ht="20.25">
      <c r="B11" s="17">
        <v>5</v>
      </c>
      <c r="C11" s="16" t="s">
        <v>142</v>
      </c>
      <c r="D11" s="18">
        <v>0.33333333333333331</v>
      </c>
      <c r="E11" s="18">
        <v>0.41666666666666669</v>
      </c>
      <c r="F11" s="19">
        <f t="shared" si="0"/>
        <v>120.00000000000006</v>
      </c>
      <c r="G11" s="16" t="s">
        <v>13</v>
      </c>
      <c r="H11" s="16"/>
      <c r="K11" s="21" t="s">
        <v>9</v>
      </c>
      <c r="L11" s="21">
        <v>180</v>
      </c>
      <c r="M11" s="23">
        <f>SUMIF(Table14[دسته بندی],Table25[[#This Row],[دسته بندی]],Table14[مقدار به دقیقه])</f>
        <v>200</v>
      </c>
      <c r="N11" s="21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-20</v>
      </c>
    </row>
    <row r="12" spans="2:14" ht="20.25">
      <c r="B12" s="2">
        <v>6</v>
      </c>
      <c r="C12" s="1" t="s">
        <v>143</v>
      </c>
      <c r="D12" s="4">
        <v>0.41666666666666669</v>
      </c>
      <c r="E12" s="4">
        <v>0.47916666666666669</v>
      </c>
      <c r="F12" s="5">
        <f t="shared" si="0"/>
        <v>90</v>
      </c>
      <c r="G12" s="1" t="s">
        <v>8</v>
      </c>
      <c r="H12" s="1" t="s">
        <v>144</v>
      </c>
      <c r="K12" s="7" t="s">
        <v>10</v>
      </c>
      <c r="L12" s="10">
        <v>60</v>
      </c>
      <c r="M12" s="6">
        <f>SUMIF(Table14[دسته بندی],Table25[[#This Row],[دسته بندی]],Table14[مقدار به دقیقه])</f>
        <v>90</v>
      </c>
      <c r="N12" s="7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-30</v>
      </c>
    </row>
    <row r="13" spans="2:14" ht="20.25">
      <c r="B13" s="17">
        <v>7</v>
      </c>
      <c r="C13" s="16" t="s">
        <v>128</v>
      </c>
      <c r="D13" s="18">
        <v>0.47916666666666669</v>
      </c>
      <c r="E13" s="18">
        <v>0.5</v>
      </c>
      <c r="F13" s="19">
        <f t="shared" si="0"/>
        <v>29.999999999999972</v>
      </c>
      <c r="G13" s="16" t="s">
        <v>6</v>
      </c>
      <c r="H13" s="16"/>
      <c r="K13" s="21" t="s">
        <v>11</v>
      </c>
      <c r="L13" s="22">
        <v>120</v>
      </c>
      <c r="M13" s="23">
        <f>SUMIF(Table14[دسته بندی],Table25[[#This Row],[دسته بندی]],Table14[مقدار به دقیقه])</f>
        <v>89.999999999999957</v>
      </c>
      <c r="N13" s="21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30.000000000000043</v>
      </c>
    </row>
    <row r="14" spans="2:14" ht="20.25">
      <c r="B14" s="2">
        <v>8</v>
      </c>
      <c r="C14" s="1" t="s">
        <v>115</v>
      </c>
      <c r="D14" s="4">
        <v>0.5</v>
      </c>
      <c r="E14" s="4">
        <v>0.54166666666666663</v>
      </c>
      <c r="F14" s="5">
        <f t="shared" si="0"/>
        <v>59.999999999999943</v>
      </c>
      <c r="G14" s="1" t="s">
        <v>6</v>
      </c>
      <c r="H14" s="1"/>
      <c r="K14" s="7" t="s">
        <v>12</v>
      </c>
      <c r="L14" s="10">
        <v>0</v>
      </c>
      <c r="M14" s="6">
        <f>SUMIF(Table14[دسته بندی],Table25[[#This Row],[دسته بندی]],Table14[مقدار به دقیقه])</f>
        <v>0</v>
      </c>
      <c r="N14" s="7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0</v>
      </c>
    </row>
    <row r="15" spans="2:14" ht="20.25">
      <c r="B15" s="17">
        <v>9</v>
      </c>
      <c r="C15" s="16" t="s">
        <v>143</v>
      </c>
      <c r="D15" s="18">
        <v>0.54861111111111116</v>
      </c>
      <c r="E15" s="18">
        <v>0.625</v>
      </c>
      <c r="F15" s="19">
        <f t="shared" si="0"/>
        <v>109.99999999999993</v>
      </c>
      <c r="G15" s="16" t="s">
        <v>8</v>
      </c>
      <c r="H15" s="16" t="s">
        <v>144</v>
      </c>
      <c r="K15" s="21" t="s">
        <v>13</v>
      </c>
      <c r="L15" s="21">
        <v>100</v>
      </c>
      <c r="M15" s="23">
        <f>SUMIF(Table14[دسته بندی],Table25[[#This Row],[دسته بندی]],Table14[مقدار به دقیقه])</f>
        <v>120.00000000000006</v>
      </c>
      <c r="N15" s="21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-20.000000000000057</v>
      </c>
    </row>
    <row r="16" spans="2:14" ht="20.25">
      <c r="B16" s="2">
        <v>10</v>
      </c>
      <c r="C16" s="1" t="s">
        <v>99</v>
      </c>
      <c r="D16" s="4">
        <v>0.625</v>
      </c>
      <c r="E16" s="4">
        <v>0.64583333333333337</v>
      </c>
      <c r="F16" s="5">
        <f t="shared" si="0"/>
        <v>30.000000000000053</v>
      </c>
      <c r="G16" s="1" t="s">
        <v>6</v>
      </c>
      <c r="H16" s="1"/>
      <c r="K16" s="7" t="s">
        <v>14</v>
      </c>
      <c r="L16" s="7">
        <v>30</v>
      </c>
      <c r="M16" s="6">
        <f>SUMIF(Table14[دسته بندی],Table25[[#This Row],[دسته بندی]],Table14[مقدار به دقیقه])</f>
        <v>0</v>
      </c>
      <c r="N16" s="7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0</v>
      </c>
    </row>
    <row r="17" spans="2:14" ht="20.25">
      <c r="B17" s="17">
        <v>11</v>
      </c>
      <c r="C17" s="16" t="s">
        <v>143</v>
      </c>
      <c r="D17" s="18">
        <v>0.64583333333333337</v>
      </c>
      <c r="E17" s="18">
        <v>0.6875</v>
      </c>
      <c r="F17" s="19">
        <f t="shared" si="0"/>
        <v>59.999999999999943</v>
      </c>
      <c r="G17" s="16" t="s">
        <v>8</v>
      </c>
      <c r="H17" s="16" t="s">
        <v>144</v>
      </c>
      <c r="K17" s="21" t="s">
        <v>15</v>
      </c>
      <c r="L17" s="21"/>
      <c r="M17" s="23">
        <f>SUMIF(Table14[دسته بندی],Table25[[#This Row],[دسته بندی]],Table14[مقدار به دقیقه])</f>
        <v>0</v>
      </c>
      <c r="N17" s="21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0</v>
      </c>
    </row>
    <row r="18" spans="2:14" ht="20.25">
      <c r="B18" s="2">
        <v>12</v>
      </c>
      <c r="C18" s="1" t="s">
        <v>145</v>
      </c>
      <c r="D18" s="4">
        <v>0.6875</v>
      </c>
      <c r="E18" s="4">
        <v>0.77083333333333337</v>
      </c>
      <c r="F18" s="5">
        <f t="shared" si="0"/>
        <v>120.00000000000006</v>
      </c>
      <c r="G18" s="1" t="s">
        <v>9</v>
      </c>
      <c r="H18" s="1"/>
      <c r="K18" s="7" t="s">
        <v>16</v>
      </c>
      <c r="L18" s="7"/>
      <c r="M18" s="6">
        <f>SUMIF(Table14[دسته بندی],Table25[[#This Row],[دسته بندی]],Table14[مقدار به دقیقه])</f>
        <v>0</v>
      </c>
      <c r="N18" s="7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0</v>
      </c>
    </row>
    <row r="19" spans="2:14" ht="20.25">
      <c r="B19" s="17">
        <v>13</v>
      </c>
      <c r="C19" s="16" t="s">
        <v>146</v>
      </c>
      <c r="D19" s="18">
        <v>0.77083333333333337</v>
      </c>
      <c r="E19" s="18">
        <v>0.83333333333333337</v>
      </c>
      <c r="F19" s="19">
        <f t="shared" si="0"/>
        <v>90</v>
      </c>
      <c r="G19" s="16" t="s">
        <v>10</v>
      </c>
      <c r="H19" s="16" t="s">
        <v>147</v>
      </c>
      <c r="K19" s="21" t="s">
        <v>17</v>
      </c>
      <c r="L19" s="21"/>
      <c r="M19" s="23">
        <f>SUMIF(Table14[دسته بندی],Table25[[#This Row],[دسته بندی]],Table14[مقدار به دقیقه])</f>
        <v>0</v>
      </c>
      <c r="N19" s="21">
        <f>IF(OR(Table25[[#This Row],[فعالیت پیش بینی شده ]]=0,Table25[[#This Row],[مقدار فعالیت]]=0),0,IF(ABS(Table25[[#This Row],[فعالیت پیش بینی شده ]]-Table25[[#This Row],[مقدار فعالیت]])&lt;0.000001,0,Table25[[#This Row],[فعالیت پیش بینی شده ]]-Table25[[#This Row],[مقدار فعالیت]]))</f>
        <v>0</v>
      </c>
    </row>
    <row r="20" spans="2:14" ht="20.25">
      <c r="B20" s="2">
        <v>14</v>
      </c>
      <c r="C20" s="1" t="s">
        <v>36</v>
      </c>
      <c r="D20" s="4">
        <v>0.83333333333333337</v>
      </c>
      <c r="E20" s="4">
        <v>0.875</v>
      </c>
      <c r="F20" s="5">
        <f t="shared" si="0"/>
        <v>59.999999999999943</v>
      </c>
      <c r="G20" s="1" t="s">
        <v>6</v>
      </c>
      <c r="H20" s="1"/>
    </row>
    <row r="21" spans="2:14" ht="20.25">
      <c r="B21" s="17">
        <v>15</v>
      </c>
      <c r="C21" s="16" t="s">
        <v>137</v>
      </c>
      <c r="D21" s="18">
        <v>0.875</v>
      </c>
      <c r="E21" s="18">
        <v>0.91666666666666663</v>
      </c>
      <c r="F21" s="19">
        <f t="shared" si="0"/>
        <v>59.999999999999943</v>
      </c>
      <c r="G21" s="16" t="s">
        <v>11</v>
      </c>
      <c r="H21" s="16"/>
    </row>
    <row r="22" spans="2:14" ht="20.25">
      <c r="B22" s="2">
        <v>16</v>
      </c>
      <c r="C22" s="1"/>
      <c r="D22" s="4"/>
      <c r="E22" s="4"/>
      <c r="F22" s="5" t="str">
        <f t="shared" si="0"/>
        <v/>
      </c>
      <c r="G22" s="1"/>
      <c r="H22" s="1"/>
    </row>
    <row r="23" spans="2:14" ht="20.25">
      <c r="B23" s="17">
        <v>17</v>
      </c>
      <c r="C23" s="16"/>
      <c r="D23" s="18"/>
      <c r="E23" s="18"/>
      <c r="F23" s="19" t="str">
        <f t="shared" si="0"/>
        <v/>
      </c>
      <c r="G23" s="16"/>
      <c r="H23" s="16"/>
    </row>
    <row r="24" spans="2:14" ht="20.25">
      <c r="B24" s="2">
        <v>18</v>
      </c>
      <c r="C24" s="1"/>
      <c r="D24" s="4"/>
      <c r="E24" s="4"/>
      <c r="F24" s="5" t="str">
        <f t="shared" si="0"/>
        <v/>
      </c>
      <c r="G24" s="1"/>
      <c r="H24" s="1"/>
    </row>
    <row r="25" spans="2:14" ht="20.25">
      <c r="B25" s="17">
        <v>19</v>
      </c>
      <c r="C25" s="16"/>
      <c r="D25" s="18"/>
      <c r="E25" s="18"/>
      <c r="F25" s="19" t="str">
        <f t="shared" si="0"/>
        <v/>
      </c>
      <c r="G25" s="16"/>
      <c r="H25" s="16"/>
    </row>
    <row r="26" spans="2:14" ht="20.25">
      <c r="B26" s="2">
        <v>20</v>
      </c>
      <c r="C26" s="1"/>
      <c r="D26" s="4"/>
      <c r="E26" s="4"/>
      <c r="F26" s="5" t="str">
        <f t="shared" si="0"/>
        <v/>
      </c>
      <c r="G26" s="1"/>
      <c r="H26" s="1"/>
    </row>
    <row r="27" spans="2:14" ht="20.25">
      <c r="B27" s="17">
        <v>21</v>
      </c>
      <c r="C27" s="16"/>
      <c r="D27" s="18"/>
      <c r="E27" s="18"/>
      <c r="F27" s="19" t="str">
        <f t="shared" si="0"/>
        <v/>
      </c>
      <c r="G27" s="16"/>
      <c r="H27" s="16"/>
    </row>
    <row r="28" spans="2:14" ht="20.25">
      <c r="B28" s="2">
        <v>22</v>
      </c>
      <c r="C28" s="1"/>
      <c r="D28" s="4"/>
      <c r="E28" s="4"/>
      <c r="F28" s="5" t="str">
        <f t="shared" si="0"/>
        <v/>
      </c>
      <c r="G28" s="1"/>
      <c r="H28" s="1"/>
    </row>
    <row r="29" spans="2:14" ht="20.25">
      <c r="B29" s="17">
        <v>23</v>
      </c>
      <c r="C29" s="16"/>
      <c r="D29" s="18"/>
      <c r="E29" s="18"/>
      <c r="F29" s="19" t="str">
        <f t="shared" si="0"/>
        <v/>
      </c>
      <c r="G29" s="16"/>
      <c r="H29" s="16"/>
    </row>
    <row r="30" spans="2:14" ht="20.25">
      <c r="B30" s="2">
        <v>24</v>
      </c>
      <c r="C30" s="1"/>
      <c r="D30" s="4"/>
      <c r="E30" s="4"/>
      <c r="F30" s="5" t="str">
        <f t="shared" si="0"/>
        <v/>
      </c>
      <c r="G30" s="1"/>
      <c r="H30" s="1"/>
    </row>
    <row r="31" spans="2:14" ht="20.25">
      <c r="B31" s="17">
        <v>25</v>
      </c>
      <c r="C31" s="16"/>
      <c r="D31" s="18"/>
      <c r="E31" s="18"/>
      <c r="F31" s="19" t="str">
        <f t="shared" si="0"/>
        <v/>
      </c>
      <c r="G31" s="16"/>
      <c r="H31" s="16"/>
    </row>
    <row r="32" spans="2:14" ht="20.25">
      <c r="B32" s="2">
        <v>26</v>
      </c>
      <c r="C32" s="1"/>
      <c r="D32" s="4"/>
      <c r="E32" s="4"/>
      <c r="F32" s="5" t="str">
        <f t="shared" si="0"/>
        <v/>
      </c>
      <c r="G32" s="1"/>
      <c r="H32" s="1"/>
    </row>
    <row r="33" spans="2:8" ht="20.25">
      <c r="B33" s="17">
        <v>27</v>
      </c>
      <c r="C33" s="16"/>
      <c r="D33" s="18"/>
      <c r="E33" s="18"/>
      <c r="F33" s="19" t="str">
        <f t="shared" si="0"/>
        <v/>
      </c>
      <c r="G33" s="16"/>
      <c r="H33" s="16"/>
    </row>
    <row r="34" spans="2:8" ht="20.25">
      <c r="B34" s="2">
        <v>28</v>
      </c>
      <c r="C34" s="1"/>
      <c r="D34" s="4"/>
      <c r="E34" s="4"/>
      <c r="F34" s="5" t="str">
        <f t="shared" si="0"/>
        <v/>
      </c>
      <c r="G34" s="1"/>
      <c r="H34" s="1"/>
    </row>
    <row r="35" spans="2:8" ht="20.25">
      <c r="B35" s="17">
        <v>29</v>
      </c>
      <c r="C35" s="16"/>
      <c r="D35" s="18"/>
      <c r="E35" s="18"/>
      <c r="F35" s="19" t="str">
        <f t="shared" si="0"/>
        <v/>
      </c>
      <c r="G35" s="16"/>
      <c r="H35" s="16"/>
    </row>
    <row r="36" spans="2:8" ht="20.25">
      <c r="B36" s="2">
        <v>30</v>
      </c>
      <c r="C36" s="1"/>
      <c r="D36" s="4"/>
      <c r="E36" s="4"/>
      <c r="F36" s="5" t="str">
        <f t="shared" si="0"/>
        <v/>
      </c>
      <c r="G36" s="1"/>
      <c r="H36" s="1"/>
    </row>
  </sheetData>
  <mergeCells count="2">
    <mergeCell ref="B5:D5"/>
    <mergeCell ref="E5:H5"/>
  </mergeCells>
  <conditionalFormatting sqref="N7:N19">
    <cfRule type="cellIs" dxfId="9" priority="1" operator="equal">
      <formula>0</formula>
    </cfRule>
    <cfRule type="cellIs" dxfId="8" priority="2" operator="lessThan">
      <formula>0</formula>
    </cfRule>
    <cfRule type="cellIs" dxfId="7" priority="3" operator="greaterThan">
      <formula>0</formula>
    </cfRule>
  </conditionalFormatting>
  <dataValidations count="1">
    <dataValidation type="list" allowBlank="1" showInputMessage="1" showErrorMessage="1" sqref="G7:G36" xr:uid="{DCCFFB89-F0E4-4BF1-9231-AEE656326167}">
      <formula1>$K$7:$K$19</formula1>
    </dataValidation>
  </dataValidations>
  <pageMargins left="0.7" right="0.7" top="0.75" bottom="0.75" header="0.3" footer="0.3"/>
  <drawing r:id="rId1"/>
  <picture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0DE0-7827-4C9F-954C-EBA32ED2DA87}">
  <dimension ref="B5:N36"/>
  <sheetViews>
    <sheetView showGridLines="0" rightToLeft="1" topLeftCell="A4" zoomScale="80" zoomScaleNormal="80" workbookViewId="0">
      <selection activeCell="L36" sqref="L36"/>
    </sheetView>
  </sheetViews>
  <sheetFormatPr defaultRowHeight="15"/>
  <cols>
    <col min="3" max="3" width="23.5703125" customWidth="1"/>
    <col min="4" max="4" width="16.5703125" customWidth="1"/>
    <col min="5" max="5" width="17.5703125" customWidth="1"/>
    <col min="6" max="6" width="17.28515625" customWidth="1"/>
    <col min="7" max="7" width="19.5703125" customWidth="1"/>
    <col min="8" max="8" width="45.5703125" customWidth="1"/>
    <col min="11" max="11" width="19.28515625" customWidth="1"/>
    <col min="12" max="12" width="25" customWidth="1"/>
    <col min="13" max="13" width="28.42578125" customWidth="1"/>
    <col min="14" max="14" width="17.42578125" customWidth="1"/>
  </cols>
  <sheetData>
    <row r="5" spans="2:14" ht="20.25">
      <c r="B5" s="34" t="s">
        <v>43</v>
      </c>
      <c r="C5" s="34"/>
      <c r="D5" s="34"/>
      <c r="E5" s="34" t="s">
        <v>38</v>
      </c>
      <c r="F5" s="34"/>
      <c r="G5" s="34"/>
      <c r="H5" s="34"/>
    </row>
    <row r="6" spans="2:14" ht="20.25">
      <c r="B6" s="12" t="s">
        <v>21</v>
      </c>
      <c r="C6" s="12" t="s">
        <v>0</v>
      </c>
      <c r="D6" s="12" t="s">
        <v>1</v>
      </c>
      <c r="E6" s="12" t="s">
        <v>2</v>
      </c>
      <c r="F6" s="12" t="s">
        <v>22</v>
      </c>
      <c r="G6" s="12" t="s">
        <v>3</v>
      </c>
      <c r="H6" s="12" t="s">
        <v>4</v>
      </c>
      <c r="K6" s="24" t="s">
        <v>3</v>
      </c>
      <c r="L6" s="24" t="s">
        <v>18</v>
      </c>
      <c r="M6" s="24" t="s">
        <v>19</v>
      </c>
      <c r="N6" s="24" t="s">
        <v>20</v>
      </c>
    </row>
    <row r="7" spans="2:14" ht="20.25">
      <c r="B7" s="17">
        <v>1</v>
      </c>
      <c r="C7" s="16"/>
      <c r="D7" s="18"/>
      <c r="E7" s="18"/>
      <c r="F7" s="19" t="str">
        <f t="shared" ref="F7:F36" si="0">IF(OR(D7="",E7=""),"",IF(E7&gt;=D7,(E7-D7)*24*60,(E7-D7+1)*24*60))</f>
        <v/>
      </c>
      <c r="G7" s="16"/>
      <c r="H7" s="16"/>
      <c r="K7" s="21" t="s">
        <v>5</v>
      </c>
      <c r="L7" s="22">
        <v>420</v>
      </c>
      <c r="M7" s="23">
        <f>SUMIF(Table1[دسته بندی],Table2[[#This Row],[دسته بندی]],Table1[مقدار به دقیقه])</f>
        <v>0</v>
      </c>
      <c r="N7" s="21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8" spans="2:14" ht="20.25">
      <c r="B8" s="2">
        <v>2</v>
      </c>
      <c r="C8" s="1"/>
      <c r="D8" s="4"/>
      <c r="E8" s="4"/>
      <c r="F8" s="5" t="str">
        <f t="shared" si="0"/>
        <v/>
      </c>
      <c r="G8" s="1"/>
      <c r="H8" s="1"/>
      <c r="K8" s="7" t="s">
        <v>6</v>
      </c>
      <c r="L8" s="7">
        <v>100</v>
      </c>
      <c r="M8" s="6">
        <f>SUMIF(Table1[دسته بندی],Table2[[#This Row],[دسته بندی]],Table1[مقدار به دقیقه])</f>
        <v>0</v>
      </c>
      <c r="N8" s="7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9" spans="2:14" ht="20.25">
      <c r="B9" s="17">
        <v>3</v>
      </c>
      <c r="C9" s="16"/>
      <c r="D9" s="18"/>
      <c r="E9" s="18"/>
      <c r="F9" s="19" t="str">
        <f t="shared" si="0"/>
        <v/>
      </c>
      <c r="G9" s="16"/>
      <c r="H9" s="16"/>
      <c r="K9" s="21" t="s">
        <v>7</v>
      </c>
      <c r="L9" s="21">
        <v>180</v>
      </c>
      <c r="M9" s="23">
        <f>SUMIF(Table1[دسته بندی],Table2[[#This Row],[دسته بندی]],Table1[مقدار به دقیقه])</f>
        <v>0</v>
      </c>
      <c r="N9" s="21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0" spans="2:14" ht="20.25">
      <c r="B10" s="2">
        <v>4</v>
      </c>
      <c r="C10" s="1"/>
      <c r="D10" s="4"/>
      <c r="E10" s="4"/>
      <c r="F10" s="5" t="str">
        <f t="shared" si="0"/>
        <v/>
      </c>
      <c r="G10" s="1"/>
      <c r="H10" s="1"/>
      <c r="K10" s="7" t="s">
        <v>8</v>
      </c>
      <c r="L10" s="7">
        <v>120</v>
      </c>
      <c r="M10" s="6">
        <f>SUMIF(Table1[دسته بندی],Table2[[#This Row],[دسته بندی]],Table1[مقدار به دقیقه])</f>
        <v>0</v>
      </c>
      <c r="N10" s="7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1" spans="2:14" ht="20.25">
      <c r="B11" s="17">
        <v>5</v>
      </c>
      <c r="C11" s="16"/>
      <c r="D11" s="18"/>
      <c r="E11" s="18"/>
      <c r="F11" s="19" t="str">
        <f t="shared" si="0"/>
        <v/>
      </c>
      <c r="G11" s="16"/>
      <c r="H11" s="16"/>
      <c r="K11" s="21" t="s">
        <v>9</v>
      </c>
      <c r="L11" s="21">
        <v>60</v>
      </c>
      <c r="M11" s="23">
        <f>SUMIF(Table1[دسته بندی],Table2[[#This Row],[دسته بندی]],Table1[مقدار به دقیقه])</f>
        <v>0</v>
      </c>
      <c r="N11" s="21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2" spans="2:14" ht="20.25">
      <c r="B12" s="2">
        <v>6</v>
      </c>
      <c r="C12" s="1"/>
      <c r="D12" s="4"/>
      <c r="E12" s="4"/>
      <c r="F12" s="5" t="str">
        <f t="shared" si="0"/>
        <v/>
      </c>
      <c r="G12" s="1"/>
      <c r="H12" s="1"/>
      <c r="K12" s="7" t="s">
        <v>10</v>
      </c>
      <c r="L12" s="10">
        <v>90</v>
      </c>
      <c r="M12" s="6">
        <f>SUMIF(Table1[دسته بندی],Table2[[#This Row],[دسته بندی]],Table1[مقدار به دقیقه])</f>
        <v>0</v>
      </c>
      <c r="N12" s="7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3" spans="2:14" ht="20.25">
      <c r="B13" s="17">
        <v>7</v>
      </c>
      <c r="C13" s="16"/>
      <c r="D13" s="18"/>
      <c r="E13" s="18"/>
      <c r="F13" s="19" t="str">
        <f t="shared" si="0"/>
        <v/>
      </c>
      <c r="G13" s="16"/>
      <c r="H13" s="16"/>
      <c r="K13" s="21" t="s">
        <v>11</v>
      </c>
      <c r="L13" s="22">
        <v>240</v>
      </c>
      <c r="M13" s="23">
        <f>SUMIF(Table1[دسته بندی],Table2[[#This Row],[دسته بندی]],Table1[مقدار به دقیقه])</f>
        <v>0</v>
      </c>
      <c r="N13" s="21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4" spans="2:14" ht="20.25">
      <c r="B14" s="2">
        <v>8</v>
      </c>
      <c r="C14" s="1"/>
      <c r="D14" s="4"/>
      <c r="E14" s="4"/>
      <c r="F14" s="5" t="str">
        <f t="shared" si="0"/>
        <v/>
      </c>
      <c r="G14" s="1"/>
      <c r="H14" s="1"/>
      <c r="K14" s="7" t="s">
        <v>12</v>
      </c>
      <c r="L14" s="10">
        <v>150</v>
      </c>
      <c r="M14" s="6">
        <f>SUMIF(Table1[دسته بندی],Table2[[#This Row],[دسته بندی]],Table1[مقدار به دقیقه])</f>
        <v>0</v>
      </c>
      <c r="N14" s="7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5" spans="2:14" ht="20.25">
      <c r="B15" s="17">
        <v>9</v>
      </c>
      <c r="C15" s="16"/>
      <c r="D15" s="18"/>
      <c r="E15" s="18"/>
      <c r="F15" s="19" t="str">
        <f t="shared" si="0"/>
        <v/>
      </c>
      <c r="G15" s="16"/>
      <c r="H15" s="16"/>
      <c r="K15" s="21" t="s">
        <v>13</v>
      </c>
      <c r="L15" s="21"/>
      <c r="M15" s="23">
        <f>SUMIF(Table1[دسته بندی],Table2[[#This Row],[دسته بندی]],Table1[مقدار به دقیقه])</f>
        <v>0</v>
      </c>
      <c r="N15" s="21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6" spans="2:14" ht="20.25">
      <c r="B16" s="2">
        <v>10</v>
      </c>
      <c r="C16" s="1"/>
      <c r="D16" s="4"/>
      <c r="E16" s="4"/>
      <c r="F16" s="5" t="str">
        <f t="shared" si="0"/>
        <v/>
      </c>
      <c r="G16" s="1"/>
      <c r="H16" s="1"/>
      <c r="K16" s="7" t="s">
        <v>14</v>
      </c>
      <c r="L16" s="7"/>
      <c r="M16" s="6">
        <f>SUMIF(Table1[دسته بندی],Table2[[#This Row],[دسته بندی]],Table1[مقدار به دقیقه])</f>
        <v>0</v>
      </c>
      <c r="N16" s="7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7" spans="2:14" ht="20.25">
      <c r="B17" s="17">
        <v>11</v>
      </c>
      <c r="C17" s="16"/>
      <c r="D17" s="18"/>
      <c r="E17" s="18"/>
      <c r="F17" s="19" t="str">
        <f t="shared" si="0"/>
        <v/>
      </c>
      <c r="G17" s="16"/>
      <c r="H17" s="16"/>
      <c r="K17" s="21" t="s">
        <v>15</v>
      </c>
      <c r="L17" s="21"/>
      <c r="M17" s="23">
        <f>SUMIF(Table1[دسته بندی],Table2[[#This Row],[دسته بندی]],Table1[مقدار به دقیقه])</f>
        <v>0</v>
      </c>
      <c r="N17" s="21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8" spans="2:14" ht="20.25">
      <c r="B18" s="2">
        <v>12</v>
      </c>
      <c r="C18" s="1"/>
      <c r="D18" s="4"/>
      <c r="E18" s="4"/>
      <c r="F18" s="5" t="str">
        <f t="shared" si="0"/>
        <v/>
      </c>
      <c r="G18" s="1"/>
      <c r="H18" s="1"/>
      <c r="K18" s="7" t="s">
        <v>16</v>
      </c>
      <c r="L18" s="7"/>
      <c r="M18" s="6">
        <f>SUMIF(Table1[دسته بندی],Table2[[#This Row],[دسته بندی]],Table1[مقدار به دقیقه])</f>
        <v>0</v>
      </c>
      <c r="N18" s="7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19" spans="2:14" ht="20.25">
      <c r="B19" s="17">
        <v>13</v>
      </c>
      <c r="C19" s="16"/>
      <c r="D19" s="18"/>
      <c r="E19" s="18"/>
      <c r="F19" s="19" t="str">
        <f t="shared" si="0"/>
        <v/>
      </c>
      <c r="G19" s="16"/>
      <c r="H19" s="16"/>
      <c r="K19" s="21" t="s">
        <v>17</v>
      </c>
      <c r="L19" s="21"/>
      <c r="M19" s="23">
        <f>SUMIF(Table1[دسته بندی],Table2[[#This Row],[دسته بندی]],Table1[مقدار به دقیقه])</f>
        <v>0</v>
      </c>
      <c r="N19" s="21">
        <f>IF(OR(Table2[[#This Row],[فعالیت پیش بینی شده ]]=0,Table2[[#This Row],[مقدار فعالیت]]=0),0,IF(ABS(Table2[[#This Row],[فعالیت پیش بینی شده ]]-Table2[[#This Row],[مقدار فعالیت]])&lt;0.000001,0,Table2[[#This Row],[فعالیت پیش بینی شده ]]-Table2[[#This Row],[مقدار فعالیت]]))</f>
        <v>0</v>
      </c>
    </row>
    <row r="20" spans="2:14" ht="20.25">
      <c r="B20" s="2">
        <v>14</v>
      </c>
      <c r="C20" s="1"/>
      <c r="D20" s="4"/>
      <c r="E20" s="4"/>
      <c r="F20" s="5" t="str">
        <f t="shared" si="0"/>
        <v/>
      </c>
      <c r="G20" s="1"/>
      <c r="H20" s="1"/>
    </row>
    <row r="21" spans="2:14" ht="20.25">
      <c r="B21" s="17">
        <v>15</v>
      </c>
      <c r="C21" s="16"/>
      <c r="D21" s="18"/>
      <c r="E21" s="18"/>
      <c r="F21" s="19" t="str">
        <f t="shared" si="0"/>
        <v/>
      </c>
      <c r="G21" s="16"/>
      <c r="H21" s="16"/>
    </row>
    <row r="22" spans="2:14" ht="20.25">
      <c r="B22" s="2">
        <v>16</v>
      </c>
      <c r="C22" s="1"/>
      <c r="D22" s="4"/>
      <c r="E22" s="4"/>
      <c r="F22" s="5" t="str">
        <f t="shared" si="0"/>
        <v/>
      </c>
      <c r="G22" s="1"/>
      <c r="H22" s="1"/>
    </row>
    <row r="23" spans="2:14" ht="20.25">
      <c r="B23" s="17">
        <v>17</v>
      </c>
      <c r="C23" s="16"/>
      <c r="D23" s="18"/>
      <c r="E23" s="18"/>
      <c r="F23" s="19" t="str">
        <f t="shared" si="0"/>
        <v/>
      </c>
      <c r="G23" s="16"/>
      <c r="H23" s="16"/>
    </row>
    <row r="24" spans="2:14" ht="20.25">
      <c r="B24" s="2">
        <v>18</v>
      </c>
      <c r="C24" s="1"/>
      <c r="D24" s="4"/>
      <c r="E24" s="4"/>
      <c r="F24" s="5" t="str">
        <f t="shared" si="0"/>
        <v/>
      </c>
      <c r="G24" s="1"/>
      <c r="H24" s="1"/>
    </row>
    <row r="25" spans="2:14" ht="20.25">
      <c r="B25" s="17">
        <v>19</v>
      </c>
      <c r="C25" s="16"/>
      <c r="D25" s="18"/>
      <c r="E25" s="18"/>
      <c r="F25" s="19" t="str">
        <f t="shared" si="0"/>
        <v/>
      </c>
      <c r="G25" s="16"/>
      <c r="H25" s="16"/>
    </row>
    <row r="26" spans="2:14" ht="20.25">
      <c r="B26" s="2">
        <v>20</v>
      </c>
      <c r="C26" s="1"/>
      <c r="D26" s="4"/>
      <c r="E26" s="4"/>
      <c r="F26" s="5" t="str">
        <f t="shared" si="0"/>
        <v/>
      </c>
      <c r="G26" s="1"/>
      <c r="H26" s="1"/>
    </row>
    <row r="27" spans="2:14" ht="20.25">
      <c r="B27" s="17">
        <v>21</v>
      </c>
      <c r="C27" s="16"/>
      <c r="D27" s="18"/>
      <c r="E27" s="18"/>
      <c r="F27" s="19" t="str">
        <f t="shared" si="0"/>
        <v/>
      </c>
      <c r="G27" s="16"/>
      <c r="H27" s="16"/>
    </row>
    <row r="28" spans="2:14" ht="20.25">
      <c r="B28" s="2">
        <v>22</v>
      </c>
      <c r="C28" s="1"/>
      <c r="D28" s="4"/>
      <c r="E28" s="4"/>
      <c r="F28" s="5" t="str">
        <f t="shared" si="0"/>
        <v/>
      </c>
      <c r="G28" s="1"/>
      <c r="H28" s="1"/>
    </row>
    <row r="29" spans="2:14" ht="20.25">
      <c r="B29" s="17">
        <v>23</v>
      </c>
      <c r="C29" s="16"/>
      <c r="D29" s="18"/>
      <c r="E29" s="18"/>
      <c r="F29" s="19" t="str">
        <f t="shared" si="0"/>
        <v/>
      </c>
      <c r="G29" s="16"/>
      <c r="H29" s="16"/>
    </row>
    <row r="30" spans="2:14" ht="20.25">
      <c r="B30" s="2">
        <v>24</v>
      </c>
      <c r="C30" s="1"/>
      <c r="D30" s="4"/>
      <c r="E30" s="4"/>
      <c r="F30" s="5" t="str">
        <f t="shared" si="0"/>
        <v/>
      </c>
      <c r="G30" s="1"/>
      <c r="H30" s="1"/>
    </row>
    <row r="31" spans="2:14" ht="20.25">
      <c r="B31" s="17">
        <v>25</v>
      </c>
      <c r="C31" s="16"/>
      <c r="D31" s="18"/>
      <c r="E31" s="18"/>
      <c r="F31" s="19" t="str">
        <f t="shared" si="0"/>
        <v/>
      </c>
      <c r="G31" s="16"/>
      <c r="H31" s="16"/>
    </row>
    <row r="32" spans="2:14" ht="20.25">
      <c r="B32" s="2">
        <v>26</v>
      </c>
      <c r="C32" s="1"/>
      <c r="D32" s="4"/>
      <c r="E32" s="4"/>
      <c r="F32" s="5" t="str">
        <f t="shared" si="0"/>
        <v/>
      </c>
      <c r="G32" s="1"/>
      <c r="H32" s="1"/>
    </row>
    <row r="33" spans="2:8" ht="20.25">
      <c r="B33" s="17">
        <v>27</v>
      </c>
      <c r="C33" s="16"/>
      <c r="D33" s="18"/>
      <c r="E33" s="18"/>
      <c r="F33" s="19" t="str">
        <f t="shared" si="0"/>
        <v/>
      </c>
      <c r="G33" s="16"/>
      <c r="H33" s="16"/>
    </row>
    <row r="34" spans="2:8" ht="20.25">
      <c r="B34" s="2">
        <v>28</v>
      </c>
      <c r="C34" s="1"/>
      <c r="D34" s="4"/>
      <c r="E34" s="4"/>
      <c r="F34" s="5" t="str">
        <f t="shared" si="0"/>
        <v/>
      </c>
      <c r="G34" s="1"/>
      <c r="H34" s="1"/>
    </row>
    <row r="35" spans="2:8" ht="20.25">
      <c r="B35" s="17">
        <v>29</v>
      </c>
      <c r="C35" s="16"/>
      <c r="D35" s="18"/>
      <c r="E35" s="18"/>
      <c r="F35" s="19" t="str">
        <f t="shared" si="0"/>
        <v/>
      </c>
      <c r="G35" s="16"/>
      <c r="H35" s="16"/>
    </row>
    <row r="36" spans="2:8" ht="20.25">
      <c r="B36" s="2">
        <v>30</v>
      </c>
      <c r="C36" s="1"/>
      <c r="D36" s="4"/>
      <c r="E36" s="4"/>
      <c r="F36" s="5" t="str">
        <f t="shared" si="0"/>
        <v/>
      </c>
      <c r="G36" s="1"/>
      <c r="H36" s="1"/>
    </row>
  </sheetData>
  <mergeCells count="2">
    <mergeCell ref="B5:D5"/>
    <mergeCell ref="E5:H5"/>
  </mergeCells>
  <conditionalFormatting sqref="N7:N19">
    <cfRule type="cellIs" dxfId="6" priority="1" operator="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dataValidations count="1">
    <dataValidation type="list" allowBlank="1" showInputMessage="1" showErrorMessage="1" sqref="G7:G36" xr:uid="{3CD35F43-6509-4FFA-928E-05484C4719C4}">
      <formula1>$K$7:$K$19</formula1>
    </dataValidation>
  </dataValidations>
  <pageMargins left="0.7" right="0.7" top="0.75" bottom="0.75" header="0.3" footer="0.3"/>
  <drawing r:id="rId1"/>
  <picture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2125-0710-4AE9-97F6-1FFD9CAAD686}">
  <dimension ref="C3:L19"/>
  <sheetViews>
    <sheetView showGridLines="0" rightToLeft="1" topLeftCell="A2" zoomScale="80" zoomScaleNormal="80" workbookViewId="0">
      <selection activeCell="E14" sqref="E14"/>
    </sheetView>
  </sheetViews>
  <sheetFormatPr defaultRowHeight="15"/>
  <cols>
    <col min="3" max="3" width="19.42578125" customWidth="1"/>
    <col min="4" max="4" width="38.140625" customWidth="1"/>
    <col min="5" max="5" width="22.85546875" customWidth="1"/>
    <col min="6" max="6" width="18.28515625" customWidth="1"/>
    <col min="9" max="9" width="24.7109375" customWidth="1"/>
    <col min="10" max="10" width="14.140625" customWidth="1"/>
    <col min="11" max="11" width="43" customWidth="1"/>
    <col min="12" max="12" width="13" customWidth="1"/>
  </cols>
  <sheetData>
    <row r="3" spans="3:12" ht="18.75">
      <c r="L3" s="3"/>
    </row>
    <row r="4" spans="3:12" ht="18.75">
      <c r="L4" s="3"/>
    </row>
    <row r="6" spans="3:12" ht="18">
      <c r="C6" s="8" t="s">
        <v>3</v>
      </c>
      <c r="D6" s="8" t="s">
        <v>23</v>
      </c>
      <c r="E6" s="8" t="s">
        <v>24</v>
      </c>
      <c r="F6" s="8" t="s">
        <v>20</v>
      </c>
      <c r="J6" s="8" t="s">
        <v>27</v>
      </c>
      <c r="K6" s="8" t="s">
        <v>28</v>
      </c>
    </row>
    <row r="7" spans="3:12" ht="18">
      <c r="C7" s="21" t="s">
        <v>5</v>
      </c>
      <c r="D7" s="21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2520</v>
      </c>
      <c r="E7" s="21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2170</v>
      </c>
      <c r="F7" s="21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350</v>
      </c>
      <c r="I7" s="8" t="s">
        <v>25</v>
      </c>
      <c r="J7" s="11">
        <f>SUM(Table15[مجموع فعالیت های پیش بینی شده])</f>
        <v>9180</v>
      </c>
      <c r="K7" s="11" t="str">
        <f>INT(SUM(Table15[مجموع فعالیت های پیش بینی شده])/60) &amp; " ساعت " &amp; MOD(SUM(Table15[مجموع فعالیت های پیش بینی شده]),60) &amp; " دقیقه"</f>
        <v>153 ساعت 0 دقیقه</v>
      </c>
    </row>
    <row r="8" spans="3:12" ht="18">
      <c r="C8" s="7" t="s">
        <v>6</v>
      </c>
      <c r="D8" s="7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1100</v>
      </c>
      <c r="E8" s="7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1319.9999999999991</v>
      </c>
      <c r="F8" s="7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-219.99999999999909</v>
      </c>
      <c r="I8" s="8" t="s">
        <v>26</v>
      </c>
      <c r="J8" s="11">
        <f>SUM(Table15[مجموع فعالیت ها])</f>
        <v>7014.9999999999991</v>
      </c>
      <c r="K8" s="15" t="str">
        <f>INT(SUM(Table15[مجموع فعالیت ها])/60) &amp; " ساعت " &amp; MOD(SUM(Table15[مجموع فعالیت ها]),60) &amp; " دقیقه"</f>
        <v>116 ساعت 54.9999999999991 دقیقه</v>
      </c>
    </row>
    <row r="9" spans="3:12" ht="18">
      <c r="C9" s="21" t="s">
        <v>7</v>
      </c>
      <c r="D9" s="21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1080</v>
      </c>
      <c r="E9" s="21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264.99999999999983</v>
      </c>
      <c r="F9" s="21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815.00000000000023</v>
      </c>
    </row>
    <row r="10" spans="3:12" ht="18">
      <c r="C10" s="7" t="s">
        <v>8</v>
      </c>
      <c r="D10" s="7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1380</v>
      </c>
      <c r="E10" s="7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1550</v>
      </c>
      <c r="F10" s="7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-170</v>
      </c>
    </row>
    <row r="11" spans="3:12" ht="18">
      <c r="C11" s="21" t="s">
        <v>9</v>
      </c>
      <c r="D11" s="21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900</v>
      </c>
      <c r="E11" s="21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915.00000000000011</v>
      </c>
      <c r="F11" s="21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-15.000000000000114</v>
      </c>
    </row>
    <row r="12" spans="3:12" ht="18">
      <c r="C12" s="7" t="s">
        <v>10</v>
      </c>
      <c r="D12" s="7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540</v>
      </c>
      <c r="E12" s="7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320.00000000000011</v>
      </c>
      <c r="F12" s="7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219.99999999999989</v>
      </c>
    </row>
    <row r="13" spans="3:12" ht="18">
      <c r="C13" s="21" t="s">
        <v>11</v>
      </c>
      <c r="D13" s="21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960</v>
      </c>
      <c r="E13" s="21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324.99999999999977</v>
      </c>
      <c r="F13" s="21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635.00000000000023</v>
      </c>
    </row>
    <row r="14" spans="3:12" ht="18">
      <c r="C14" s="7" t="s">
        <v>12</v>
      </c>
      <c r="D14" s="7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480</v>
      </c>
      <c r="E14" s="7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0</v>
      </c>
      <c r="F14" s="7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480</v>
      </c>
    </row>
    <row r="15" spans="3:12" ht="18">
      <c r="C15" s="21" t="s">
        <v>13</v>
      </c>
      <c r="D15" s="21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100</v>
      </c>
      <c r="E15" s="21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120.00000000000006</v>
      </c>
      <c r="F15" s="21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-20.000000000000057</v>
      </c>
    </row>
    <row r="16" spans="3:12" ht="18">
      <c r="C16" s="7" t="s">
        <v>14</v>
      </c>
      <c r="D16" s="7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120</v>
      </c>
      <c r="E16" s="7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30.000000000000053</v>
      </c>
      <c r="F16" s="7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89.999999999999943</v>
      </c>
    </row>
    <row r="17" spans="3:6" ht="18">
      <c r="C17" s="21" t="s">
        <v>15</v>
      </c>
      <c r="D17" s="21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0</v>
      </c>
      <c r="E17" s="21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0</v>
      </c>
      <c r="F17" s="21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0</v>
      </c>
    </row>
    <row r="18" spans="3:6" ht="18">
      <c r="C18" s="7" t="s">
        <v>16</v>
      </c>
      <c r="D18" s="7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0</v>
      </c>
      <c r="E18" s="7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0</v>
      </c>
      <c r="F18" s="7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0</v>
      </c>
    </row>
    <row r="19" spans="3:6" ht="18">
      <c r="C19" s="21" t="s">
        <v>17</v>
      </c>
      <c r="D19" s="21">
        <f>SUM(Table2579111315[[#This Row],[فعالیت پیش بینی شده ]]+Table25[[#This Row],[فعالیت پیش بینی شده ]],Table2[[#This Row],[فعالیت پیش بینی شده ]],Table257911[[#This Row],[فعالیت پیش بینی شده ]],Table2579[[#This Row],[فعالیت پیش بینی شده ]],Table257[[#This Row],[فعالیت پیش بینی شده ]])</f>
        <v>0</v>
      </c>
      <c r="E19" s="21">
        <f>SUM(Table2579111315[[#This Row],[مقدار فعالیت]]+Table25[[#This Row],[مقدار فعالیت]],Table2[[#This Row],[مقدار فعالیت]],Table257911[[#This Row],[مقدار فعالیت]],Table2579[[#This Row],[مقدار فعالیت]],Table257[[#This Row],[مقدار فعالیت]])</f>
        <v>0</v>
      </c>
      <c r="F19" s="21">
        <f>IF(ABS(Table15[[#This Row],[مجموع فعالیت های پیش بینی شده]]-Table15[[#This Row],[مجموع فعالیت ها]])&lt;0.000001,0,Table15[[#This Row],[مجموع فعالیت های پیش بینی شده]]-Table15[[#This Row],[مجموع فعالیت ها]])</f>
        <v>0</v>
      </c>
    </row>
  </sheetData>
  <conditionalFormatting sqref="F7:F19">
    <cfRule type="cellIs" dxfId="3" priority="1" operator="equal">
      <formula>0</formula>
    </cfRule>
    <cfRule type="cellIs" dxfId="2" priority="2" operator="equal">
      <formula>-45</formula>
    </cfRule>
    <cfRule type="cellIs" dxfId="1" priority="3" operator="lessThan">
      <formula>-45</formula>
    </cfRule>
    <cfRule type="cellIs" dxfId="0" priority="4" operator="greaterThan">
      <formula>0</formula>
    </cfRule>
  </conditionalFormatting>
  <pageMargins left="0.7" right="0.7" top="0.75" bottom="0.75" header="0.3" footer="0.3"/>
  <picture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E1C-3195-4E18-9DC6-FC8C6B1646BF}">
  <dimension ref="A1"/>
  <sheetViews>
    <sheetView showGridLines="0" rightToLeft="1" workbookViewId="0">
      <selection activeCell="A13" sqref="A13"/>
    </sheetView>
  </sheetViews>
  <sheetFormatPr defaultRowHeight="15"/>
  <sheetData/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شنبه</vt:lpstr>
      <vt:lpstr>یکشنبه</vt:lpstr>
      <vt:lpstr>دوشنبه</vt:lpstr>
      <vt:lpstr>سه شنبه</vt:lpstr>
      <vt:lpstr>چهار شنبه</vt:lpstr>
      <vt:lpstr>پنجشنبه</vt:lpstr>
      <vt:lpstr>جمعه</vt:lpstr>
      <vt:lpstr>داده ها</vt:lpstr>
      <vt:lpstr>نمودار نهایی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Hashmatullah Hussaini</dc:creator>
  <cp:lastModifiedBy>Ali Mohseni</cp:lastModifiedBy>
  <dcterms:created xsi:type="dcterms:W3CDTF">2025-11-09T06:34:46Z</dcterms:created>
  <dcterms:modified xsi:type="dcterms:W3CDTF">2025-11-24T06:11:23Z</dcterms:modified>
</cp:coreProperties>
</file>